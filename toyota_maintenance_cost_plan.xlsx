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c5906cd43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Summary" sheetId="1" r:id="Rf69c5e199fa24eee"/>
    <x:sheet xmlns:r="http://schemas.openxmlformats.org/officeDocument/2006/relationships" name="Interval Detail" sheetId="2" r:id="R8780d2796f824eb5"/>
    <x:sheet xmlns:r="http://schemas.openxmlformats.org/officeDocument/2006/relationships" name="Cost Assumptions" sheetId="3" r:id="Rae077dd9a7ca45e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Source URLs:
https://www.monkentoyotamtvernon.com/service-pricing.html
https://www.stcharlestoyota.net/service/service-specials/
https://www.toyotadm.com/cc-service-options-at-toyota-of-des-moines/</x:t>
        </x:r>
      </x:text>
    </x:comment>
    <x:comment ref="C6" authorId="0">
      <x:text>
        <x:r>
          <x:t>Source URLs:
https://www.monkentoyotamtvernon.com/service-pricing.html
https://www.toyotaofirving.com/service-menu-pricing/
https://www.toyotadm.com/cc-service-options-at-toyota-of-des-moines/</x:t>
        </x:r>
      </x:text>
    </x:comment>
    <x:comment ref="C7" authorId="0">
      <x:text>
        <x:r>
          <x:t>Source URLs:
https://www.earlstewarttoyota.com/service/services-pricing/
https://www.toyotaofirving.com/service-menu-pricing/
https://www.toyotacarson.com/service/service-specials/</x:t>
        </x:r>
      </x:text>
    </x:comment>
    <x:comment ref="C8" authorId="0">
      <x:text>
        <x:r>
          <x:t>Source URLs:
https://www.stcharlestoyota.net/service/service-specials/
https://www.toyotaofirving.com/service-menu-pricing/
https://www.monkentoyotamtvernon.com/service-pricing.html</x:t>
        </x:r>
      </x:text>
    </x:comment>
    <x:comment ref="C9" authorId="0">
      <x:text>
        <x:r>
          <x:t>Source URLs:
https://www.yourmechanic.com/estimates/toyota/tacoma/lubricate-driveshaft
No strong current Toyota dealer menu pricing found; editable estimate.</x:t>
        </x:r>
      </x:text>
    </x:comment>
    <x:comment ref="C10" authorId="0">
      <x:text>
        <x:r>
          <x:t>Source URLs:
https://www.monkentoyotamtvernon.com/service-pricing.html
https://www.elmhursttoyota.com/rear-differential-coupon/</x:t>
        </x:r>
      </x:text>
    </x:comment>
    <x:comment ref="C11" authorId="0">
      <x:text>
        <x:r>
          <x:t>Source URLs:
https://www.monkentoyotamtvernon.com/service-pricing.html
https://www.manhattanbeachtoyota.com/recommended-service-pricing/</x:t>
        </x:r>
      </x:text>
    </x:comment>
    <x:comment ref="C12" authorId="0">
      <x:text>
        <x:r>
          <x:t>Source URLs:
https://www.monkentoyotamtvernon.com/service-pricing.html
https://www.manhattanbeachtoyota.com/recommended-service-pricing/</x:t>
        </x:r>
      </x:text>
    </x:comment>
    <x:comment ref="C13" authorId="0">
      <x:text>
        <x:r>
          <x:t>Source URLs:
https://www.kbb.com/toyota/tacoma-double-cab/2022/spark-plug-replacement/
https://repairpal.com/estimator/toyota/tacoma/spark-plug-replacement-cost</x:t>
        </x:r>
      </x:text>
    </x:comment>
    <x:comment ref="C14" authorId="0">
      <x:text>
        <x:r>
          <x:t>Source URLs:
https://www.toyotaofirving.com/service-menu-pricing/
https://www.manhattanbeachtoyota.com/recommended-service-pricing/
https://www.toyotaofgreenville.com/service/power-steering-fluid.htm</x:t>
        </x:r>
      </x:text>
    </x:comment>
    <x:comment ref="C15" authorId="0">
      <x:text>
        <x:r>
          <x:t>Source URLs:
https://www.toyotaofirving.com/service-menu-pricing/
https://www.manhattanbeachtoyota.com/recommended-service-pricing/
https://www.maticktoyota.com/service-menu.html</x:t>
        </x:r>
      </x:text>
    </x:comment>
    <x:comment ref="C16" authorId="0">
      <x:text>
        <x:r>
          <x:t>Source URLs:
https://www.toyotaofirving.com/service-menu-pricing/
https://www.manhattanbeachtoyota.com/recommended-service-pricing/
https://www.maticktoyota.com/service-menu.html</x:t>
        </x:r>
      </x:text>
    </x:comment>
    <x:comment ref="C17" authorId="0">
      <x:text>
        <x:r>
          <x:t>Source URLs:
https://repairpal.com/estimator/brake-shoes-replacement-cost
https://repairpal.com/estimator/toyota/pickup/brake-shoes-replacement-cost
Dealer menus were sparse; editable estimate.</x:t>
        </x:r>
      </x:text>
    </x:comment>
    <x:comment ref="C18" authorId="0">
      <x:text>
        <x:r>
          <x:t>Source URLs:
https://www.leadcartoyotamankato.com/toyota-brakes-and-service-repair.html
https://www.courtesytoyota.com/toyota-brake-pads.htm
https://www.stonecresttoyota.com/toyota-brake-specials.htm</x:t>
        </x:r>
      </x:text>
    </x:comment>
    <x:comment ref="C19" authorId="0">
      <x:text>
        <x:r>
          <x:t>Source URLs:
https://repairpal.com/estimator/toyota/tacoma/serpentine-belt-replacement-cost</x:t>
        </x:r>
      </x:text>
    </x:comment>
    <x:comment ref="C20" authorId="0">
      <x:text>
        <x:r>
          <x:t>Source URLs:
https://www.monkentoyotamtvernon.com/service-pricing.html
https://www.toyotaofirving.com/service-menu-pricing/
https://www.maticktoyota.com/service-menu.html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"/>
  </x:numFmts>
  <x:fonts count="7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404040"/>
    </x:font>
    <x:font>
      <x:b/>
      <x:color rgb="00FFFFFF"/>
    </x:font>
    <x:font>
      <x:b/>
    </x:font>
    <x:font>
      <x:b/>
      <x:sz val="15"/>
      <x:color rgb="00FFFFFF"/>
    </x:font>
    <x:font>
      <x:color rgb="000000FF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0F766E"/>
      </x:patternFill>
    </x:fill>
    <x:fill>
      <x:patternFill patternType="solid">
        <x:fgColor rgb="00D9EAF7"/>
      </x:patternFill>
    </x:fill>
    <x:fill>
      <x:patternFill patternType="solid">
        <x:fgColor rgb="00E7E6E6"/>
      </x:patternFill>
    </x:fill>
    <x:fill>
      <x:patternFill patternType="solid">
        <x:fgColor rgb="00FFFFFF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  <x:fill>
      <x:patternFill patternType="solid">
        <x:fgColor rgb="00DDEBF7"/>
      </x:patternFill>
    </x:fill>
  </x:fills>
  <x:borders count="4">
    <x:border>
      <x:left/>
      <x:right/>
      <x:top/>
      <x:bottom/>
      <x:diagonal/>
    </x:border>
    <x:border>
      <x:bottom style="medium">
        <x:color rgb="001F4E78"/>
      </x:bottom>
    </x:border>
    <x:border>
      <x:bottom style="thin">
        <x:color rgb="00BFBFBF"/>
      </x:bottom>
    </x:border>
    <x:border>
      <x:top style="medium">
        <x:color rgb="001F4E78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/>
    <x:xf numFmtId="0" fontId="2" fillId="0" borderId="0" xfId="0" applyAlignment="1">
      <x:alignment vertical="top" wrapText="1"/>
    </x:xf>
    <x:xf numFmtId="0" fontId="3" fillId="3" borderId="1" xfId="0" applyAlignment="1">
      <x:alignment horizontal="center" vertical="center" wrapText="1"/>
    </x:xf>
    <x:xf numFmtId="0" fontId="0" fillId="4" borderId="2" xfId="0" applyAlignment="1">
      <x:alignment vertical="top" wrapText="1"/>
    </x:xf>
    <x:xf numFmtId="0" fontId="0" fillId="6" borderId="2" xfId="0" applyAlignment="1">
      <x:alignment vertical="top" wrapText="1"/>
    </x:xf>
    <x:xf numFmtId="0" fontId="0" fillId="7" borderId="2" xfId="0" applyAlignment="1">
      <x:alignment vertical="top" wrapText="1"/>
    </x:xf>
    <x:xf numFmtId="0" fontId="0" fillId="8" borderId="2" xfId="0" applyAlignment="1">
      <x:alignment vertical="top" wrapText="1"/>
    </x:xf>
    <x:xf numFmtId="164" fontId="0" fillId="0" borderId="2" xfId="0" applyAlignment="1">
      <x:alignment vertical="top" wrapText="1"/>
    </x:xf>
    <x:xf numFmtId="0" fontId="3" fillId="2" borderId="0" xfId="0" applyAlignment="1">
      <x:alignment vertical="top" wrapText="1"/>
    </x:xf>
    <x:xf numFmtId="164" fontId="4" fillId="5" borderId="3" xfId="0" applyAlignment="1">
      <x:alignment vertical="top" wrapText="1"/>
    </x:xf>
    <x:xf numFmtId="0" fontId="5" fillId="2" borderId="0" xfId="0"/>
    <x:xf numFmtId="0" fontId="0" fillId="0" borderId="2" xfId="0" applyAlignment="1">
      <x:alignment vertical="top" wrapText="1"/>
    </x:xf>
    <x:xf numFmtId="164" fontId="6" fillId="9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4b855024d4cec" /><Relationship Type="http://schemas.openxmlformats.org/officeDocument/2006/relationships/theme" Target="/xl/theme/theme1.xml" Id="R0bab4be255dc4d67" /><Relationship Type="http://schemas.openxmlformats.org/officeDocument/2006/relationships/sharedStrings" Target="/xl/sharedStrings.xml" Id="Rd605609a349040be" /><Relationship Type="http://schemas.openxmlformats.org/officeDocument/2006/relationships/worksheet" Target="/xl/worksheets/sheet1.xml" Id="Rf69c5e199fa24eee" /><Relationship Type="http://schemas.openxmlformats.org/officeDocument/2006/relationships/worksheet" Target="/xl/worksheets/sheet2.xml" Id="R8780d2796f824eb5" /><Relationship Type="http://schemas.openxmlformats.org/officeDocument/2006/relationships/worksheet" Target="/xl/worksheets/sheet3.xml" Id="Rae077dd9a7ca45ea" /><Relationship Type="http://schemas.microsoft.com/office/2017/10/relationships/person" Target="/xl/persons/person.xml" Id="R718bf76c875a459d" /></Relationships>
</file>

<file path=xl/persons/person.xml><?xml version="1.0" encoding="utf-8"?>
<xltc:personList xmlns:xltc="http://schemas.microsoft.com/office/spreadsheetml/2018/threadedcomments">
  <xltc:person displayName="OpenAI" id="{D884BD8D-54EB-770A-4A85-76D67BD9395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a766d52f8cd4b9c" /><Relationship Type="http://schemas.openxmlformats.org/officeDocument/2006/relationships/vmlDrawing" Target="/xl/drawings/vmldrawing.vml" Id="R84eb869abd6b4e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4" customWidth="1"/>
    <x:col min="3" max="3" width="38" customWidth="1"/>
    <x:col min="4" max="4" width="34" customWidth="1"/>
    <x:col min="5" max="5" width="14" customWidth="1"/>
    <x:col min="6" max="6" width="16" customWidth="1"/>
    <x:col min="7" max="7" width="16" customWidth="1"/>
    <x:col min="8" max="8" width="18" customWidth="1"/>
    <x:col min="9" max="9" width="16" customWidth="1"/>
  </x:cols>
  <x:sheetData>
    <x:row r="1">
      <x:c r="A1" s="1" t="inlineStr">
        <x:is>
          <x:t xml:space="preserve">Toyota Maintenance Cost Planner (0–100k miles)</x:t>
        </x:is>
      </x:c>
    </x:row>
    <x:row r="2">
      <x:c r="A2" s="2" t="inlineStr">
        <x:is>
          <x:t xml:space="preserve">White = change now; Red = severe-interval change now; Yellow = inspect/change only if needed.</x:t>
        </x:is>
      </x:c>
    </x:row>
    <x:row r="3">
      <x:c r="A3" s="2" t="inlineStr">
        <x:is>
          <x:t xml:space="preserve">Costs are editable assumptions based on published Toyota dealer menus and Tacoma-specific cost estimates.</x:t>
        </x:is>
      </x:c>
    </x:row>
    <x:row r="5" ht="34" customHeight="1">
      <x:c r="A5" s="3" t="inlineStr">
        <x:is>
          <x:t xml:space="preserve">Interval (k mi)</x:t>
        </x:is>
      </x:c>
      <x:c r="B5" s="3" t="inlineStr">
        <x:is>
          <x:t xml:space="preserve">White items (change)</x:t>
        </x:is>
      </x:c>
      <x:c r="C5" s="3" t="inlineStr">
        <x:is>
          <x:t xml:space="preserve">Yellow items (inspect/change as needed)</x:t>
        </x:is>
      </x:c>
      <x:c r="D5" s="3" t="inlineStr">
        <x:is>
          <x:t xml:space="preserve">Red items (severe interval)</x:t>
        </x:is>
      </x:c>
      <x:c r="E5" s="3" t="inlineStr">
        <x:is>
          <x:t xml:space="preserve">Required cost
(white + red)</x:t>
        </x:is>
      </x:c>
      <x:c r="F5" s="3" t="inlineStr">
        <x:is>
          <x:t xml:space="preserve">Yellow potential cost</x:t>
        </x:is>
      </x:c>
      <x:c r="G5" s="3" t="inlineStr">
        <x:is>
          <x:t xml:space="preserve">Max possible cost
(required + yellow)</x:t>
        </x:is>
      </x:c>
      <x:c r="H5" s="3" t="inlineStr">
        <x:is>
          <x:t xml:space="preserve">Running required total</x:t>
        </x:is>
      </x:c>
      <x:c r="I5" s="3" t="inlineStr">
        <x:is>
          <x:t xml:space="preserve">Running max total</x:t>
        </x:is>
      </x:c>
    </x:row>
    <x:row r="6" ht="48" customHeight="1">
      <x:c r="A6" s="4" t="n">
        <x:v>0</x:v>
      </x:c>
      <x:c r="B6" s="5" t="inlineStr">
        <x:is>
          <x:t xml:space="preserve">—</x:t>
        </x:is>
      </x:c>
      <x:c r="C6" s="6" t="inlineStr">
        <x:is>
          <x:t xml:space="preserve">—</x:t>
        </x:is>
      </x:c>
      <x:c r="D6" s="7" t="inlineStr">
        <x:is>
          <x:t xml:space="preserve">—</x:t>
        </x:is>
      </x:c>
      <x:c r="E6" s="8">
        <x:f>SUMIFS('Interval Detail'!$F$5:$F$130,'Interval Detail'!$A$5:$A$130,A6,'Interval Detail'!$C$5:$C$130,"Required")</x:f>
        <x:v>0</x:v>
      </x:c>
      <x:c r="F6" s="8">
        <x:f>SUMIFS('Interval Detail'!$F$5:$F$130,'Interval Detail'!$A$5:$A$130,A6,'Interval Detail'!$C$5:$C$130,"As-needed")</x:f>
        <x:v>0</x:v>
      </x:c>
      <x:c r="G6" s="8">
        <x:f>E6+F6</x:f>
        <x:v>0</x:v>
      </x:c>
      <x:c r="H6" s="8">
        <x:f>E6</x:f>
        <x:v>0</x:v>
      </x:c>
      <x:c r="I6" s="8">
        <x:f>G6</x:f>
        <x:v>0</x:v>
      </x:c>
    </x:row>
    <x:row r="7" ht="48" customHeight="1">
      <x:c r="A7" s="4" t="n">
        <x:v>5</x:v>
      </x:c>
      <x:c r="B7" s="5" t="inlineStr">
        <x:is>
          <x:t xml:space="preserve">2. Tire rotation and inspect for damage</x:t>
        </x:is>
      </x:c>
      <x:c r="C7" s="6" t="inlineStr">
        <x:is>
          <x:t xml:space="preserve">4. Engine intake air filter</x:t>
        </x:is>
      </x:c>
      <x:c r="D7" s="7" t="inlineStr">
        <x:is>
          <x:t xml:space="preserve">1. Engine oil and filter; 5. Grease driveshaft (lithium chassis grease)</x:t>
        </x:is>
      </x:c>
      <x:c r="E7" s="8">
        <x:f>SUMIFS('Interval Detail'!$F$5:$F$130,'Interval Detail'!$A$5:$A$130,A7,'Interval Detail'!$C$5:$C$130,"Required")</x:f>
        <x:v>215</x:v>
      </x:c>
      <x:c r="F7" s="8">
        <x:f>SUMIFS('Interval Detail'!$F$5:$F$130,'Interval Detail'!$A$5:$A$130,A7,'Interval Detail'!$C$5:$C$130,"As-needed")</x:f>
        <x:v>40</x:v>
      </x:c>
      <x:c r="G7" s="8">
        <x:f>E7+F7</x:f>
        <x:v>255</x:v>
      </x:c>
      <x:c r="H7" s="8">
        <x:f>H6+E7</x:f>
        <x:v>215</x:v>
      </x:c>
      <x:c r="I7" s="8">
        <x:f>I6+G7</x:f>
        <x:v>255</x:v>
      </x:c>
    </x:row>
    <x:row r="8" ht="48" customHeight="1">
      <x:c r="A8" s="4" t="n">
        <x:v>10</x:v>
      </x:c>
      <x:c r="B8" s="5" t="inlineStr">
        <x:is>
          <x:t xml:space="preserve">1. Engine oil and filter; 2. Tire rotation and inspect for damage</x:t>
        </x:is>
      </x:c>
      <x:c r="C8" s="6" t="inlineStr">
        <x:is>
          <x:t xml:space="preserve">4. Engine intake air filter; 14. Front brake pads</x:t>
        </x:is>
      </x:c>
      <x:c r="D8" s="7" t="inlineStr">
        <x:is>
          <x:t xml:space="preserve">5. Grease driveshaft (lithium chassis grease)</x:t>
        </x:is>
      </x:c>
      <x:c r="E8" s="8">
        <x:f>SUMIFS('Interval Detail'!$F$5:$F$130,'Interval Detail'!$A$5:$A$130,A8,'Interval Detail'!$C$5:$C$130,"Required")</x:f>
        <x:v>215</x:v>
      </x:c>
      <x:c r="F8" s="8">
        <x:f>SUMIFS('Interval Detail'!$F$5:$F$130,'Interval Detail'!$A$5:$A$130,A8,'Interval Detail'!$C$5:$C$130,"As-needed")</x:f>
        <x:v>340</x:v>
      </x:c>
      <x:c r="G8" s="8">
        <x:f>E8+F8</x:f>
        <x:v>555</x:v>
      </x:c>
      <x:c r="H8" s="8">
        <x:f>H7+E8</x:f>
        <x:v>430</x:v>
      </x:c>
      <x:c r="I8" s="8">
        <x:f>I7+G8</x:f>
        <x:v>810</x:v>
      </x:c>
    </x:row>
    <x:row r="9" ht="48" customHeight="1">
      <x:c r="A9" s="4" t="n">
        <x:v>15</x:v>
      </x:c>
      <x:c r="B9" s="5" t="inlineStr">
        <x:is>
          <x:t xml:space="preserve">2. Tire rotation and inspect for damage; 5. Grease driveshaft (lithium chassis grease)</x:t>
        </x:is>
      </x:c>
      <x:c r="C9" s="6" t="inlineStr">
        <x:is>
          <x:t xml:space="preserve">4. Engine intake air filter</x:t>
        </x:is>
      </x:c>
      <x:c r="D9" s="7" t="inlineStr">
        <x:is>
          <x:t xml:space="preserve">1. Engine oil and filter; 7. Rear differential fluid (gear oil 75W-85 GL-5); 8. Front differential fluid (gear oil 75W-85 GL-5)</x:t>
        </x:is>
      </x:c>
      <x:c r="E9" s="8">
        <x:f>SUMIFS('Interval Detail'!$F$5:$F$130,'Interval Detail'!$A$5:$A$130,A9,'Interval Detail'!$C$5:$C$130,"Required")</x:f>
        <x:v>535</x:v>
      </x:c>
      <x:c r="F9" s="8">
        <x:f>SUMIFS('Interval Detail'!$F$5:$F$130,'Interval Detail'!$A$5:$A$130,A9,'Interval Detail'!$C$5:$C$130,"As-needed")</x:f>
        <x:v>40</x:v>
      </x:c>
      <x:c r="G9" s="8">
        <x:f>E9+F9</x:f>
        <x:v>575</x:v>
      </x:c>
      <x:c r="H9" s="8">
        <x:f>H8+E9</x:f>
        <x:v>965</x:v>
      </x:c>
      <x:c r="I9" s="8">
        <x:f>I8+G9</x:f>
        <x:v>1385</x:v>
      </x:c>
    </x:row>
    <x:row r="10" ht="48" customHeight="1">
      <x:c r="A10" s="4" t="n">
        <x:v>20</x:v>
      </x:c>
      <x:c r="B10" s="5" t="inlineStr">
        <x:is>
          <x:t xml:space="preserve">1. Engine oil and filter; 2. Tire rotation and inspect for damage; 3. Cabin air filter</x:t>
        </x:is>
      </x:c>
      <x:c r="C10" s="6" t="inlineStr">
        <x:is>
          <x:t xml:space="preserve">4. Engine intake air filter; 13. Rear brake shoes; 14. Front brake pads</x:t>
        </x:is>
      </x:c>
      <x:c r="D10" s="7" t="inlineStr">
        <x:is>
          <x:t xml:space="preserve">5. Grease driveshaft (lithium chassis grease)</x:t>
        </x:is>
      </x:c>
      <x:c r="E10" s="8">
        <x:f>SUMIFS('Interval Detail'!$F$5:$F$130,'Interval Detail'!$A$5:$A$130,A10,'Interval Detail'!$C$5:$C$130,"Required")</x:f>
        <x:v>285</x:v>
      </x:c>
      <x:c r="F10" s="8">
        <x:f>SUMIFS('Interval Detail'!$F$5:$F$130,'Interval Detail'!$A$5:$A$130,A10,'Interval Detail'!$C$5:$C$130,"As-needed")</x:f>
        <x:v>700</x:v>
      </x:c>
      <x:c r="G10" s="8">
        <x:f>E10+F10</x:f>
        <x:v>985</x:v>
      </x:c>
      <x:c r="H10" s="8">
        <x:f>H9+E10</x:f>
        <x:v>1250</x:v>
      </x:c>
      <x:c r="I10" s="8">
        <x:f>I9+G10</x:f>
        <x:v>2370</x:v>
      </x:c>
    </x:row>
    <x:row r="11" ht="48" customHeight="1">
      <x:c r="A11" s="4" t="n">
        <x:v>25</x:v>
      </x:c>
      <x:c r="B11" s="5" t="inlineStr">
        <x:is>
          <x:t xml:space="preserve">2. Tire rotation and inspect for damage</x:t>
        </x:is>
      </x:c>
      <x:c r="C11" s="6" t="inlineStr">
        <x:is>
          <x:t xml:space="preserve">4. Engine intake air filter; 16. Brake fluid</x:t>
        </x:is>
      </x:c>
      <x:c r="D11" s="7" t="inlineStr">
        <x:is>
          <x:t xml:space="preserve">1. Engine oil and filter; 5. Grease driveshaft (lithium chassis grease)</x:t>
        </x:is>
      </x:c>
      <x:c r="E11" s="8">
        <x:f>SUMIFS('Interval Detail'!$F$5:$F$130,'Interval Detail'!$A$5:$A$130,A11,'Interval Detail'!$C$5:$C$130,"Required")</x:f>
        <x:v>215</x:v>
      </x:c>
      <x:c r="F11" s="8">
        <x:f>SUMIFS('Interval Detail'!$F$5:$F$130,'Interval Detail'!$A$5:$A$130,A11,'Interval Detail'!$C$5:$C$130,"As-needed")</x:f>
        <x:v>225</x:v>
      </x:c>
      <x:c r="G11" s="8">
        <x:f>E11+F11</x:f>
        <x:v>440</x:v>
      </x:c>
      <x:c r="H11" s="8">
        <x:f>H10+E11</x:f>
        <x:v>1465</x:v>
      </x:c>
      <x:c r="I11" s="8">
        <x:f>I10+G11</x:f>
        <x:v>2810</x:v>
      </x:c>
    </x:row>
    <x:row r="12" ht="48" customHeight="1">
      <x:c r="A12" s="4" t="n">
        <x:v>30</x:v>
      </x:c>
      <x:c r="B12" s="5" t="inlineStr">
        <x:is>
          <x:t xml:space="preserve">1. Engine oil and filter; 2. Tire rotation and inspect for damage; 5. Grease driveshaft (lithium chassis grease); 7. Rear differential fluid (gear oil 75W-85 GL-5); 8. Front differential fluid (gear oil 75W-85 GL-5)</x:t>
        </x:is>
      </x:c>
      <x:c r="C12" s="6" t="inlineStr">
        <x:is>
          <x:t xml:space="preserve">4. Engine intake air filter; 14. Front brake pads</x:t>
        </x:is>
      </x:c>
      <x:c r="D12" s="7" t="inlineStr">
        <x:is>
          <x:t xml:space="preserve">6. Transfer case oil (gear oil LF 75W)</x:t>
        </x:is>
      </x:c>
      <x:c r="E12" s="8">
        <x:f>SUMIFS('Interval Detail'!$F$5:$F$130,'Interval Detail'!$A$5:$A$130,A12,'Interval Detail'!$C$5:$C$130,"Required")</x:f>
        <x:v>720</x:v>
      </x:c>
      <x:c r="F12" s="8">
        <x:f>SUMIFS('Interval Detail'!$F$5:$F$130,'Interval Detail'!$A$5:$A$130,A12,'Interval Detail'!$C$5:$C$130,"As-needed")</x:f>
        <x:v>340</x:v>
      </x:c>
      <x:c r="G12" s="8">
        <x:f>E12+F12</x:f>
        <x:v>1060</x:v>
      </x:c>
      <x:c r="H12" s="8">
        <x:f>H11+E12</x:f>
        <x:v>2185</x:v>
      </x:c>
      <x:c r="I12" s="8">
        <x:f>I11+G12</x:f>
        <x:v>3870</x:v>
      </x:c>
    </x:row>
    <x:row r="13" ht="48" customHeight="1">
      <x:c r="A13" s="4" t="n">
        <x:v>35</x:v>
      </x:c>
      <x:c r="B13" s="5" t="inlineStr">
        <x:is>
          <x:t xml:space="preserve">2. Tire rotation and inspect for damage</x:t>
        </x:is>
      </x:c>
      <x:c r="C13" s="6" t="inlineStr">
        <x:is>
          <x:t xml:space="preserve">4. Engine intake air filter</x:t>
        </x:is>
      </x:c>
      <x:c r="D13" s="7" t="inlineStr">
        <x:is>
          <x:t xml:space="preserve">1. Engine oil and filter; 5. Grease driveshaft (lithium chassis grease)</x:t>
        </x:is>
      </x:c>
      <x:c r="E13" s="8">
        <x:f>SUMIFS('Interval Detail'!$F$5:$F$130,'Interval Detail'!$A$5:$A$130,A13,'Interval Detail'!$C$5:$C$130,"Required")</x:f>
        <x:v>215</x:v>
      </x:c>
      <x:c r="F13" s="8">
        <x:f>SUMIFS('Interval Detail'!$F$5:$F$130,'Interval Detail'!$A$5:$A$130,A13,'Interval Detail'!$C$5:$C$130,"As-needed")</x:f>
        <x:v>40</x:v>
      </x:c>
      <x:c r="G13" s="8">
        <x:f>E13+F13</x:f>
        <x:v>255</x:v>
      </x:c>
      <x:c r="H13" s="8">
        <x:f>H12+E13</x:f>
        <x:v>2400</x:v>
      </x:c>
      <x:c r="I13" s="8">
        <x:f>I12+G13</x:f>
        <x:v>4125</x:v>
      </x:c>
    </x:row>
    <x:row r="14" ht="48" customHeight="1">
      <x:c r="A14" s="4" t="n">
        <x:v>40</x:v>
      </x:c>
      <x:c r="B14" s="5" t="inlineStr">
        <x:is>
          <x:t xml:space="preserve">1. Engine oil and filter; 2. Tire rotation and inspect for damage; 3. Cabin air filter</x:t>
        </x:is>
      </x:c>
      <x:c r="C14" s="6" t="inlineStr">
        <x:is>
          <x:t xml:space="preserve">4. Engine intake air filter; 13. Rear brake shoes; 14. Front brake pads</x:t>
        </x:is>
      </x:c>
      <x:c r="D14" s="7" t="inlineStr">
        <x:is>
          <x:t xml:space="preserve">5. Grease driveshaft (lithium chassis grease)</x:t>
        </x:is>
      </x:c>
      <x:c r="E14" s="8">
        <x:f>SUMIFS('Interval Detail'!$F$5:$F$130,'Interval Detail'!$A$5:$A$130,A14,'Interval Detail'!$C$5:$C$130,"Required")</x:f>
        <x:v>285</x:v>
      </x:c>
      <x:c r="F14" s="8">
        <x:f>SUMIFS('Interval Detail'!$F$5:$F$130,'Interval Detail'!$A$5:$A$130,A14,'Interval Detail'!$C$5:$C$130,"As-needed")</x:f>
        <x:v>700</x:v>
      </x:c>
      <x:c r="G14" s="8">
        <x:f>E14+F14</x:f>
        <x:v>985</x:v>
      </x:c>
      <x:c r="H14" s="8">
        <x:f>H13+E14</x:f>
        <x:v>2685</x:v>
      </x:c>
      <x:c r="I14" s="8">
        <x:f>I13+G14</x:f>
        <x:v>5110</x:v>
      </x:c>
    </x:row>
    <x:row r="15" ht="48" customHeight="1">
      <x:c r="A15" s="4" t="n">
        <x:v>45</x:v>
      </x:c>
      <x:c r="B15" s="5" t="inlineStr">
        <x:is>
          <x:t xml:space="preserve">2. Tire rotation and inspect for damage; 5. Grease driveshaft (lithium chassis grease)</x:t>
        </x:is>
      </x:c>
      <x:c r="C15" s="6" t="inlineStr">
        <x:is>
          <x:t xml:space="preserve">4. Engine intake air filter</x:t>
        </x:is>
      </x:c>
      <x:c r="D15" s="7" t="inlineStr">
        <x:is>
          <x:t xml:space="preserve">1. Engine oil and filter; 7. Rear differential fluid (gear oil 75W-85 GL-5); 8. Front differential fluid (gear oil 75W-85 GL-5)</x:t>
        </x:is>
      </x:c>
      <x:c r="E15" s="8">
        <x:f>SUMIFS('Interval Detail'!$F$5:$F$130,'Interval Detail'!$A$5:$A$130,A15,'Interval Detail'!$C$5:$C$130,"Required")</x:f>
        <x:v>535</x:v>
      </x:c>
      <x:c r="F15" s="8">
        <x:f>SUMIFS('Interval Detail'!$F$5:$F$130,'Interval Detail'!$A$5:$A$130,A15,'Interval Detail'!$C$5:$C$130,"As-needed")</x:f>
        <x:v>40</x:v>
      </x:c>
      <x:c r="G15" s="8">
        <x:f>E15+F15</x:f>
        <x:v>575</x:v>
      </x:c>
      <x:c r="H15" s="8">
        <x:f>H14+E15</x:f>
        <x:v>3220</x:v>
      </x:c>
      <x:c r="I15" s="8">
        <x:f>I14+G15</x:f>
        <x:v>5685</x:v>
      </x:c>
    </x:row>
    <x:row r="16" ht="48" customHeight="1">
      <x:c r="A16" s="4" t="n">
        <x:v>50</x:v>
      </x:c>
      <x:c r="B16" s="5" t="inlineStr">
        <x:is>
          <x:t xml:space="preserve">1. Engine oil and filter; 2. Tire rotation and inspect for damage; 10. Power steering fluid (Dexron II or III)</x:t>
        </x:is>
      </x:c>
      <x:c r="C16" s="6" t="inlineStr">
        <x:is>
          <x:t xml:space="preserve">4. Engine intake air filter; 14. Front brake pads; 16. Brake fluid</x:t>
        </x:is>
      </x:c>
      <x:c r="D16" s="7" t="inlineStr">
        <x:is>
          <x:t xml:space="preserve">5. Grease driveshaft (lithium chassis grease)</x:t>
        </x:is>
      </x:c>
      <x:c r="E16" s="8">
        <x:f>SUMIFS('Interval Detail'!$F$5:$F$130,'Interval Detail'!$A$5:$A$130,A16,'Interval Detail'!$C$5:$C$130,"Required")</x:f>
        <x:v>400</x:v>
      </x:c>
      <x:c r="F16" s="8">
        <x:f>SUMIFS('Interval Detail'!$F$5:$F$130,'Interval Detail'!$A$5:$A$130,A16,'Interval Detail'!$C$5:$C$130,"As-needed")</x:f>
        <x:v>525</x:v>
      </x:c>
      <x:c r="G16" s="8">
        <x:f>E16+F16</x:f>
        <x:v>925</x:v>
      </x:c>
      <x:c r="H16" s="8">
        <x:f>H15+E16</x:f>
        <x:v>3620</x:v>
      </x:c>
      <x:c r="I16" s="8">
        <x:f>I15+G16</x:f>
        <x:v>6610</x:v>
      </x:c>
    </x:row>
    <x:row r="17" ht="48" customHeight="1">
      <x:c r="A17" s="4" t="n">
        <x:v>55</x:v>
      </x:c>
      <x:c r="B17" s="5" t="inlineStr">
        <x:is>
          <x:t xml:space="preserve">2. Tire rotation and inspect for damage</x:t>
        </x:is>
      </x:c>
      <x:c r="C17" s="6" t="inlineStr">
        <x:is>
          <x:t xml:space="preserve">4. Engine intake air filter</x:t>
        </x:is>
      </x:c>
      <x:c r="D17" s="7" t="inlineStr">
        <x:is>
          <x:t xml:space="preserve">1. Engine oil and filter; 5. Grease driveshaft (lithium chassis grease)</x:t>
        </x:is>
      </x:c>
      <x:c r="E17" s="8">
        <x:f>SUMIFS('Interval Detail'!$F$5:$F$130,'Interval Detail'!$A$5:$A$130,A17,'Interval Detail'!$C$5:$C$130,"Required")</x:f>
        <x:v>215</x:v>
      </x:c>
      <x:c r="F17" s="8">
        <x:f>SUMIFS('Interval Detail'!$F$5:$F$130,'Interval Detail'!$A$5:$A$130,A17,'Interval Detail'!$C$5:$C$130,"As-needed")</x:f>
        <x:v>40</x:v>
      </x:c>
      <x:c r="G17" s="8">
        <x:f>E17+F17</x:f>
        <x:v>255</x:v>
      </x:c>
      <x:c r="H17" s="8">
        <x:f>H16+E17</x:f>
        <x:v>3835</x:v>
      </x:c>
      <x:c r="I17" s="8">
        <x:f>I16+G17</x:f>
        <x:v>6865</x:v>
      </x:c>
    </x:row>
    <x:row r="18" ht="48" customHeight="1">
      <x:c r="A18" s="4" t="n">
        <x:v>60</x:v>
      </x:c>
      <x:c r="B18" s="5" t="inlineStr">
        <x:is>
          <x:t xml:space="preserve">1. Engine oil and filter; 2. Tire rotation and inspect for damage; 3. Cabin air filter; 5. Grease driveshaft (lithium chassis grease); 6. Transfer case oil (gear oil LF 75W); 7. Rear differential fluid (gear oil 75W-85 GL-5); 8. Front differential fluid (gear oil 75W-85 GL-5); 9. Spark plugs (Denso FK20HBR8, iridium)</x:t>
        </x:is>
      </x:c>
      <x:c r="C18" s="6" t="inlineStr">
        <x:is>
          <x:t xml:space="preserve">4. Engine intake air filter; 13. Rear brake shoes; 14. Front brake pads</x:t>
        </x:is>
      </x:c>
      <x:c r="D18" s="7" t="inlineStr">
        <x:is>
          <x:t xml:space="preserve">12. Transmission fluid (Toyota ATF WS / manual-specific)</x:t>
        </x:is>
      </x:c>
      <x:c r="E18" s="8">
        <x:f>SUMIFS('Interval Detail'!$F$5:$F$130,'Interval Detail'!$A$5:$A$130,A18,'Interval Detail'!$C$5:$C$130,"Required")</x:f>
        <x:v>1630</x:v>
      </x:c>
      <x:c r="F18" s="8">
        <x:f>SUMIFS('Interval Detail'!$F$5:$F$130,'Interval Detail'!$A$5:$A$130,A18,'Interval Detail'!$C$5:$C$130,"As-needed")</x:f>
        <x:v>700</x:v>
      </x:c>
      <x:c r="G18" s="8">
        <x:f>E18+F18</x:f>
        <x:v>2330</x:v>
      </x:c>
      <x:c r="H18" s="8">
        <x:f>H17+E18</x:f>
        <x:v>5465</x:v>
      </x:c>
      <x:c r="I18" s="8">
        <x:f>I17+G18</x:f>
        <x:v>9195</x:v>
      </x:c>
    </x:row>
    <x:row r="19" ht="48" customHeight="1">
      <x:c r="A19" s="4" t="n">
        <x:v>65</x:v>
      </x:c>
      <x:c r="B19" s="5" t="inlineStr">
        <x:is>
          <x:t xml:space="preserve">2. Tire rotation and inspect for damage</x:t>
        </x:is>
      </x:c>
      <x:c r="C19" s="6" t="inlineStr">
        <x:is>
          <x:t xml:space="preserve">4. Engine intake air filter</x:t>
        </x:is>
      </x:c>
      <x:c r="D19" s="7" t="inlineStr">
        <x:is>
          <x:t xml:space="preserve">1. Engine oil and filter; 5. Grease driveshaft (lithium chassis grease)</x:t>
        </x:is>
      </x:c>
      <x:c r="E19" s="8">
        <x:f>SUMIFS('Interval Detail'!$F$5:$F$130,'Interval Detail'!$A$5:$A$130,A19,'Interval Detail'!$C$5:$C$130,"Required")</x:f>
        <x:v>215</x:v>
      </x:c>
      <x:c r="F19" s="8">
        <x:f>SUMIFS('Interval Detail'!$F$5:$F$130,'Interval Detail'!$A$5:$A$130,A19,'Interval Detail'!$C$5:$C$130,"As-needed")</x:f>
        <x:v>40</x:v>
      </x:c>
      <x:c r="G19" s="8">
        <x:f>E19+F19</x:f>
        <x:v>255</x:v>
      </x:c>
      <x:c r="H19" s="8">
        <x:f>H18+E19</x:f>
        <x:v>5680</x:v>
      </x:c>
      <x:c r="I19" s="8">
        <x:f>I18+G19</x:f>
        <x:v>9450</x:v>
      </x:c>
    </x:row>
    <x:row r="20" ht="48" customHeight="1">
      <x:c r="A20" s="4" t="n">
        <x:v>70</x:v>
      </x:c>
      <x:c r="B20" s="5" t="inlineStr">
        <x:is>
          <x:t xml:space="preserve">1. Engine oil and filter; 2. Tire rotation and inspect for damage</x:t>
        </x:is>
      </x:c>
      <x:c r="C20" s="6" t="inlineStr">
        <x:is>
          <x:t xml:space="preserve">4. Engine intake air filter; 14. Front brake pads</x:t>
        </x:is>
      </x:c>
      <x:c r="D20" s="7" t="inlineStr">
        <x:is>
          <x:t xml:space="preserve">5. Grease driveshaft (lithium chassis grease)</x:t>
        </x:is>
      </x:c>
      <x:c r="E20" s="8">
        <x:f>SUMIFS('Interval Detail'!$F$5:$F$130,'Interval Detail'!$A$5:$A$130,A20,'Interval Detail'!$C$5:$C$130,"Required")</x:f>
        <x:v>215</x:v>
      </x:c>
      <x:c r="F20" s="8">
        <x:f>SUMIFS('Interval Detail'!$F$5:$F$130,'Interval Detail'!$A$5:$A$130,A20,'Interval Detail'!$C$5:$C$130,"As-needed")</x:f>
        <x:v>340</x:v>
      </x:c>
      <x:c r="G20" s="8">
        <x:f>E20+F20</x:f>
        <x:v>555</x:v>
      </x:c>
      <x:c r="H20" s="8">
        <x:f>H19+E20</x:f>
        <x:v>5895</x:v>
      </x:c>
      <x:c r="I20" s="8">
        <x:f>I19+G20</x:f>
        <x:v>10005</x:v>
      </x:c>
    </x:row>
    <x:row r="21" ht="48" customHeight="1">
      <x:c r="A21" s="4" t="n">
        <x:v>75</x:v>
      </x:c>
      <x:c r="B21" s="5" t="inlineStr">
        <x:is>
          <x:t xml:space="preserve">2. Tire rotation and inspect for damage; 5. Grease driveshaft (lithium chassis grease)</x:t>
        </x:is>
      </x:c>
      <x:c r="C21" s="6" t="inlineStr">
        <x:is>
          <x:t xml:space="preserve">4. Engine intake air filter; 16. Brake fluid</x:t>
        </x:is>
      </x:c>
      <x:c r="D21" s="7" t="inlineStr">
        <x:is>
          <x:t xml:space="preserve">1. Engine oil and filter; 7. Rear differential fluid (gear oil 75W-85 GL-5); 8. Front differential fluid (gear oil 75W-85 GL-5)</x:t>
        </x:is>
      </x:c>
      <x:c r="E21" s="8">
        <x:f>SUMIFS('Interval Detail'!$F$5:$F$130,'Interval Detail'!$A$5:$A$130,A21,'Interval Detail'!$C$5:$C$130,"Required")</x:f>
        <x:v>535</x:v>
      </x:c>
      <x:c r="F21" s="8">
        <x:f>SUMIFS('Interval Detail'!$F$5:$F$130,'Interval Detail'!$A$5:$A$130,A21,'Interval Detail'!$C$5:$C$130,"As-needed")</x:f>
        <x:v>225</x:v>
      </x:c>
      <x:c r="G21" s="8">
        <x:f>E21+F21</x:f>
        <x:v>760</x:v>
      </x:c>
      <x:c r="H21" s="8">
        <x:f>H20+E21</x:f>
        <x:v>6430</x:v>
      </x:c>
      <x:c r="I21" s="8">
        <x:f>I20+G21</x:f>
        <x:v>10765</x:v>
      </x:c>
    </x:row>
    <x:row r="22" ht="48" customHeight="1">
      <x:c r="A22" s="4" t="n">
        <x:v>80</x:v>
      </x:c>
      <x:c r="B22" s="5" t="inlineStr">
        <x:is>
          <x:t xml:space="preserve">1. Engine oil and filter; 2. Tire rotation and inspect for damage; 3. Cabin air filter</x:t>
        </x:is>
      </x:c>
      <x:c r="C22" s="6" t="inlineStr">
        <x:is>
          <x:t xml:space="preserve">4. Engine intake air filter; 13. Rear brake shoes; 14. Front brake pads</x:t>
        </x:is>
      </x:c>
      <x:c r="D22" s="7" t="inlineStr">
        <x:is>
          <x:t xml:space="preserve">5. Grease driveshaft (lithium chassis grease)</x:t>
        </x:is>
      </x:c>
      <x:c r="E22" s="8">
        <x:f>SUMIFS('Interval Detail'!$F$5:$F$130,'Interval Detail'!$A$5:$A$130,A22,'Interval Detail'!$C$5:$C$130,"Required")</x:f>
        <x:v>285</x:v>
      </x:c>
      <x:c r="F22" s="8">
        <x:f>SUMIFS('Interval Detail'!$F$5:$F$130,'Interval Detail'!$A$5:$A$130,A22,'Interval Detail'!$C$5:$C$130,"As-needed")</x:f>
        <x:v>700</x:v>
      </x:c>
      <x:c r="G22" s="8">
        <x:f>E22+F22</x:f>
        <x:v>985</x:v>
      </x:c>
      <x:c r="H22" s="8">
        <x:f>H21+E22</x:f>
        <x:v>6715</x:v>
      </x:c>
      <x:c r="I22" s="8">
        <x:f>I21+G22</x:f>
        <x:v>11750</x:v>
      </x:c>
    </x:row>
    <x:row r="23" ht="48" customHeight="1">
      <x:c r="A23" s="4" t="n">
        <x:v>85</x:v>
      </x:c>
      <x:c r="B23" s="5" t="inlineStr">
        <x:is>
          <x:t xml:space="preserve">2. Tire rotation and inspect for damage</x:t>
        </x:is>
      </x:c>
      <x:c r="C23" s="6" t="inlineStr">
        <x:is>
          <x:t xml:space="preserve">4. Engine intake air filter</x:t>
        </x:is>
      </x:c>
      <x:c r="D23" s="7" t="inlineStr">
        <x:is>
          <x:t xml:space="preserve">1. Engine oil and filter; 5. Grease driveshaft (lithium chassis grease)</x:t>
        </x:is>
      </x:c>
      <x:c r="E23" s="8">
        <x:f>SUMIFS('Interval Detail'!$F$5:$F$130,'Interval Detail'!$A$5:$A$130,A23,'Interval Detail'!$C$5:$C$130,"Required")</x:f>
        <x:v>215</x:v>
      </x:c>
      <x:c r="F23" s="8">
        <x:f>SUMIFS('Interval Detail'!$F$5:$F$130,'Interval Detail'!$A$5:$A$130,A23,'Interval Detail'!$C$5:$C$130,"As-needed")</x:f>
        <x:v>40</x:v>
      </x:c>
      <x:c r="G23" s="8">
        <x:f>E23+F23</x:f>
        <x:v>255</x:v>
      </x:c>
      <x:c r="H23" s="8">
        <x:f>H22+E23</x:f>
        <x:v>6930</x:v>
      </x:c>
      <x:c r="I23" s="8">
        <x:f>I22+G23</x:f>
        <x:v>12005</x:v>
      </x:c>
    </x:row>
    <x:row r="24" ht="48" customHeight="1">
      <x:c r="A24" s="4" t="n">
        <x:v>90</x:v>
      </x:c>
      <x:c r="B24" s="5" t="inlineStr">
        <x:is>
          <x:t xml:space="preserve">1. Engine oil and filter; 2. Tire rotation and inspect for damage; 5. Grease driveshaft (lithium chassis grease); 7. Rear differential fluid (gear oil 75W-85 GL-5); 8. Front differential fluid (gear oil 75W-85 GL-5)</x:t>
        </x:is>
      </x:c>
      <x:c r="C24" s="6" t="inlineStr">
        <x:is>
          <x:t xml:space="preserve">4. Engine intake air filter; 14. Front brake pads</x:t>
        </x:is>
      </x:c>
      <x:c r="D24" s="7" t="inlineStr">
        <x:is>
          <x:t xml:space="preserve">6. Transfer case oil (gear oil LF 75W)</x:t>
        </x:is>
      </x:c>
      <x:c r="E24" s="8">
        <x:f>SUMIFS('Interval Detail'!$F$5:$F$130,'Interval Detail'!$A$5:$A$130,A24,'Interval Detail'!$C$5:$C$130,"Required")</x:f>
        <x:v>720</x:v>
      </x:c>
      <x:c r="F24" s="8">
        <x:f>SUMIFS('Interval Detail'!$F$5:$F$130,'Interval Detail'!$A$5:$A$130,A24,'Interval Detail'!$C$5:$C$130,"As-needed")</x:f>
        <x:v>340</x:v>
      </x:c>
      <x:c r="G24" s="8">
        <x:f>E24+F24</x:f>
        <x:v>1060</x:v>
      </x:c>
      <x:c r="H24" s="8">
        <x:f>H23+E24</x:f>
        <x:v>7650</x:v>
      </x:c>
      <x:c r="I24" s="8">
        <x:f>I23+G24</x:f>
        <x:v>13065</x:v>
      </x:c>
    </x:row>
    <x:row r="25" ht="48" customHeight="1">
      <x:c r="A25" s="4" t="n">
        <x:v>95</x:v>
      </x:c>
      <x:c r="B25" s="5" t="inlineStr">
        <x:is>
          <x:t xml:space="preserve">2. Tire rotation and inspect for damage</x:t>
        </x:is>
      </x:c>
      <x:c r="C25" s="6" t="inlineStr">
        <x:is>
          <x:t xml:space="preserve">4. Engine intake air filter</x:t>
        </x:is>
      </x:c>
      <x:c r="D25" s="7" t="inlineStr">
        <x:is>
          <x:t xml:space="preserve">1. Engine oil and filter; 5. Grease driveshaft (lithium chassis grease)</x:t>
        </x:is>
      </x:c>
      <x:c r="E25" s="8">
        <x:f>SUMIFS('Interval Detail'!$F$5:$F$130,'Interval Detail'!$A$5:$A$130,A25,'Interval Detail'!$C$5:$C$130,"Required")</x:f>
        <x:v>215</x:v>
      </x:c>
      <x:c r="F25" s="8">
        <x:f>SUMIFS('Interval Detail'!$F$5:$F$130,'Interval Detail'!$A$5:$A$130,A25,'Interval Detail'!$C$5:$C$130,"As-needed")</x:f>
        <x:v>40</x:v>
      </x:c>
      <x:c r="G25" s="8">
        <x:f>E25+F25</x:f>
        <x:v>255</x:v>
      </x:c>
      <x:c r="H25" s="8">
        <x:f>H24+E25</x:f>
        <x:v>7865</x:v>
      </x:c>
      <x:c r="I25" s="8">
        <x:f>I24+G25</x:f>
        <x:v>13320</x:v>
      </x:c>
    </x:row>
    <x:row r="26" ht="48" customHeight="1">
      <x:c r="A26" s="4" t="n">
        <x:v>100</x:v>
      </x:c>
      <x:c r="B26" s="5" t="inlineStr">
        <x:is>
          <x:t xml:space="preserve">1. Engine oil and filter; 2. Tire rotation and inspect for damage; 3. Cabin air filter; 10. Power steering fluid (Dexron II or III); 11. Engine coolant (Toyota SLLC); 12. Transmission fluid (Toyota ATF WS / manual-specific); 15. Serpentine belt</x:t>
        </x:is>
      </x:c>
      <x:c r="C26" s="6" t="inlineStr">
        <x:is>
          <x:t xml:space="preserve">4. Engine intake air filter; 13. Rear brake shoes; 14. Front brake pads; 16. Brake fluid</x:t>
        </x:is>
      </x:c>
      <x:c r="D26" s="7" t="inlineStr">
        <x:is>
          <x:t xml:space="preserve">5. Grease driveshaft (lithium chassis grease)</x:t>
        </x:is>
      </x:c>
      <x:c r="E26" s="8">
        <x:f>SUMIFS('Interval Detail'!$F$5:$F$130,'Interval Detail'!$A$5:$A$130,A26,'Interval Detail'!$C$5:$C$130,"Required")</x:f>
        <x:v>1155</x:v>
      </x:c>
      <x:c r="F26" s="8">
        <x:f>SUMIFS('Interval Detail'!$F$5:$F$130,'Interval Detail'!$A$5:$A$130,A26,'Interval Detail'!$C$5:$C$130,"As-needed")</x:f>
        <x:v>885</x:v>
      </x:c>
      <x:c r="G26" s="8">
        <x:f>E26+F26</x:f>
        <x:v>2040</x:v>
      </x:c>
      <x:c r="H26" s="8">
        <x:f>H25+E26</x:f>
        <x:v>9020</x:v>
      </x:c>
      <x:c r="I26" s="8">
        <x:f>I25+G26</x:f>
        <x:v>15360</x:v>
      </x:c>
    </x:row>
    <x:row r="27">
      <x:c r="A27" s="9" t="inlineStr">
        <x:is>
          <x:t xml:space="preserve">TOTAL through 100k</x:t>
        </x:is>
      </x:c>
      <x:c r="E27" s="10">
        <x:f>SUM(E6:E26)</x:f>
        <x:v>9020</x:v>
      </x:c>
      <x:c r="F27" s="10">
        <x:f>SUM(F6:F26)</x:f>
        <x:v>6340</x:v>
      </x:c>
      <x:c r="G27" s="10">
        <x:f>E27+F27</x:f>
        <x:v>15360</x:v>
      </x:c>
      <x:c r="H27" s="10">
        <x:f>SUM(E6:E26)</x:f>
        <x:v>9020</x:v>
      </x:c>
      <x:c r="I27" s="10">
        <x:f>SUM(G6:G26)</x:f>
        <x:v>15360</x:v>
      </x:c>
    </x:row>
  </x:sheetData>
  <x:mergeCells>
    <x:mergeCell ref="A1:I1"/>
    <x:mergeCell ref="A3:I3"/>
    <x:mergeCell ref="A27:D27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3" max="3" width="14" customWidth="1"/>
    <x:col min="4" max="4" width="10" customWidth="1"/>
    <x:col min="5" max="5" width="42" customWidth="1"/>
    <x:col min="6" max="6" width="14" customWidth="1"/>
    <x:col min="7" max="7" width="48" customWidth="1"/>
    <x:col min="8" max="8" width="38" customWidth="1"/>
  </x:cols>
  <x:sheetData>
    <x:row r="1">
      <x:c r="A1" s="11" t="inlineStr">
        <x:is>
          <x:t xml:space="preserve">Interval-by-interval line items</x:t>
        </x:is>
      </x:c>
    </x:row>
    <x:row r="2">
      <x:c r="A2" s="2" t="inlineStr">
        <x:is>
          <x:t xml:space="preserve">Each yellow item is labeled As-needed so the summary can separate required cost from inspection-triggered cost.</x:t>
        </x:is>
      </x:c>
    </x:row>
    <x:row r="4" ht="28" customHeight="1">
      <x:c r="A4" s="3" t="inlineStr">
        <x:is>
          <x:t xml:space="preserve">Interval (k mi)</x:t>
        </x:is>
      </x:c>
      <x:c r="B4" s="3" t="inlineStr">
        <x:is>
          <x:t xml:space="preserve">Severity</x:t>
        </x:is>
      </x:c>
      <x:c r="C4" s="3" t="inlineStr">
        <x:is>
          <x:t xml:space="preserve">Billing treatment</x:t>
        </x:is>
      </x:c>
      <x:c r="D4" s="3" t="inlineStr">
        <x:is>
          <x:t xml:space="preserve">Service ID</x:t>
        </x:is>
      </x:c>
      <x:c r="E4" s="3" t="inlineStr">
        <x:is>
          <x:t xml:space="preserve">Maintenance item</x:t>
        </x:is>
      </x:c>
      <x:c r="F4" s="3" t="inlineStr">
        <x:is>
          <x:t xml:space="preserve">Estimated cost</x:t>
        </x:is>
      </x:c>
      <x:c r="G4" s="3" t="inlineStr">
        <x:is>
          <x:t xml:space="preserve">Source URL</x:t>
        </x:is>
      </x:c>
      <x:c r="H4" s="3" t="inlineStr">
        <x:is>
          <x:t xml:space="preserve">Notes</x:t>
        </x:is>
      </x:c>
    </x:row>
    <x:row r="5" ht="36" customHeight="1">
      <x:c r="A5" s="12" t="n">
        <x:v>5</x:v>
      </x:c>
      <x:c r="B5" s="5" t="inlineStr">
        <x:is>
          <x:t xml:space="preserve">White</x:t>
        </x:is>
      </x:c>
      <x:c r="C5" s="12" t="inlineStr">
        <x:is>
          <x:t xml:space="preserve">Required</x:t>
        </x:is>
      </x:c>
      <x:c r="D5" s="12" t="n">
        <x:v>2</x:v>
      </x:c>
      <x:c r="E5" s="12" t="inlineStr">
        <x:is>
          <x:t xml:space="preserve">Tire rotation and inspect for damage</x:t>
        </x:is>
      </x:c>
      <x:c r="F5" s="8">
        <x:f>VLOOKUP(D5,'Cost Assumptions'!$A$5:$E$20,3,FALSE)</x:f>
        <x:v>30</x:v>
      </x:c>
      <x:c r="G5" s="12" t="str">
        <x:f>VLOOKUP(D5,'Cost Assumptions'!$A$5:$E$20,4,FALSE)</x:f>
        <x:v>https://www.monkentoyotamtvernon.com/service-pricing.html
https://www.toyotaofirving.com/service-menu-pricing/
https://www.toyotadm.com/cc-service-options-at-toyota-of-des-moines/</x:v>
      </x:c>
      <x:c r="H5" s="12" t="str">
        <x:f>VLOOKUP(D5,'Cost Assumptions'!$A$5:$E$20,5,FALSE)</x:f>
        <x:v>Rounded dealer rotation special / menu average.</x:v>
      </x:c>
    </x:row>
    <x:row r="6" ht="36" customHeight="1">
      <x:c r="A6" s="12" t="n">
        <x:v>5</x:v>
      </x:c>
      <x:c r="B6" s="6" t="inlineStr">
        <x:is>
          <x:t xml:space="preserve">Yellow</x:t>
        </x:is>
      </x:c>
      <x:c r="C6" s="12" t="inlineStr">
        <x:is>
          <x:t xml:space="preserve">As-needed</x:t>
        </x:is>
      </x:c>
      <x:c r="D6" s="12" t="n">
        <x:v>4</x:v>
      </x:c>
      <x:c r="E6" s="12" t="inlineStr">
        <x:is>
          <x:t xml:space="preserve">Engine intake air filter</x:t>
        </x:is>
      </x:c>
      <x:c r="F6" s="8">
        <x:f>VLOOKUP(D6,'Cost Assumptions'!$A$5:$E$20,3,FALSE)</x:f>
        <x:v>40</x:v>
      </x:c>
      <x:c r="G6" s="12" t="str">
        <x:f>VLOOKUP(D6,'Cost Assumptions'!$A$5:$E$20,4,FALSE)</x:f>
        <x:v>https://www.stcharlestoyota.net/service/service-specials/
https://www.toyotaofirving.com/service-menu-pricing/
https://www.monkentoyotamtvernon.com/service-pricing.html</x:v>
      </x:c>
      <x:c r="H6" s="12" t="str">
        <x:f>VLOOKUP(D6,'Cost Assumptions'!$A$5:$E$20,5,FALSE)</x:f>
        <x:v>Rounded from multiple dealer air-filter menu prices.</x:v>
      </x:c>
    </x:row>
    <x:row r="7" ht="36" customHeight="1">
      <x:c r="A7" s="12" t="n">
        <x:v>5</x:v>
      </x:c>
      <x:c r="B7" s="7" t="inlineStr">
        <x:is>
          <x:t xml:space="preserve">Red</x:t>
        </x:is>
      </x:c>
      <x:c r="C7" s="12" t="inlineStr">
        <x:is>
          <x:t xml:space="preserve">Required</x:t>
        </x:is>
      </x:c>
      <x:c r="D7" s="12" t="n">
        <x:v>1</x:v>
      </x:c>
      <x:c r="E7" s="12" t="inlineStr">
        <x:is>
          <x:t xml:space="preserve">Engine oil and filter</x:t>
        </x:is>
      </x:c>
      <x:c r="F7" s="8">
        <x:f>VLOOKUP(D7,'Cost Assumptions'!$A$5:$E$20,3,FALSE)</x:f>
        <x:v>90</x:v>
      </x:c>
      <x:c r="G7" s="12" t="str">
        <x:f>VLOOKUP(D7,'Cost Assumptions'!$A$5:$E$20,4,FALSE)</x:f>
        <x:v>https://www.monkentoyotamtvernon.com/service-pricing.html
https://www.stcharlestoyota.net/service/service-specials/
https://www.toyotadm.com/cc-service-options-at-toyota-of-des-moines/</x:v>
      </x:c>
      <x:c r="H7" s="12" t="str">
        <x:f>VLOOKUP(D7,'Cost Assumptions'!$A$5:$E$20,5,FALSE)</x:f>
        <x:v>Rounded dealer menu average for synthetic oil + filter.</x:v>
      </x:c>
    </x:row>
    <x:row r="8" ht="36" customHeight="1">
      <x:c r="A8" s="12" t="n">
        <x:v>5</x:v>
      </x:c>
      <x:c r="B8" s="7" t="inlineStr">
        <x:is>
          <x:t xml:space="preserve">Red</x:t>
        </x:is>
      </x:c>
      <x:c r="C8" s="12" t="inlineStr">
        <x:is>
          <x:t xml:space="preserve">Required</x:t>
        </x:is>
      </x:c>
      <x:c r="D8" s="12" t="n">
        <x:v>5</x:v>
      </x:c>
      <x:c r="E8" s="12" t="inlineStr">
        <x:is>
          <x:t xml:space="preserve">Grease driveshaft (lithium chassis grease)</x:t>
        </x:is>
      </x:c>
      <x:c r="F8" s="8">
        <x:f>VLOOKUP(D8,'Cost Assumptions'!$A$5:$E$20,3,FALSE)</x:f>
        <x:v>95</x:v>
      </x:c>
      <x:c r="G8" s="12" t="str">
        <x:f>VLOOKUP(D8,'Cost Assumptions'!$A$5:$E$20,4,FALSE)</x:f>
        <x:v>https://www.yourmechanic.com/estimates/toyota/tacoma/lubricate-driveshaft
No strong current Toyota dealer menu pricing found; editable estimate.</x:v>
      </x:c>
      <x:c r="H8" s="12" t="str">
        <x:f>VLOOKUP(D8,'Cost Assumptions'!$A$5:$E$20,5,FALSE)</x:f>
        <x:v>Estimated placeholder; verify locally. Many dealers bundle this into a mileage service.</x:v>
      </x:c>
    </x:row>
    <x:row r="9" ht="36" customHeight="1">
      <x:c r="A9" s="12" t="n">
        <x:v>10</x:v>
      </x:c>
      <x:c r="B9" s="5" t="inlineStr">
        <x:is>
          <x:t xml:space="preserve">White</x:t>
        </x:is>
      </x:c>
      <x:c r="C9" s="12" t="inlineStr">
        <x:is>
          <x:t xml:space="preserve">Required</x:t>
        </x:is>
      </x:c>
      <x:c r="D9" s="12" t="n">
        <x:v>1</x:v>
      </x:c>
      <x:c r="E9" s="12" t="inlineStr">
        <x:is>
          <x:t xml:space="preserve">Engine oil and filter</x:t>
        </x:is>
      </x:c>
      <x:c r="F9" s="8">
        <x:f>VLOOKUP(D9,'Cost Assumptions'!$A$5:$E$20,3,FALSE)</x:f>
        <x:v>90</x:v>
      </x:c>
      <x:c r="G9" s="12" t="str">
        <x:f>VLOOKUP(D9,'Cost Assumptions'!$A$5:$E$20,4,FALSE)</x:f>
        <x:v>https://www.monkentoyotamtvernon.com/service-pricing.html
https://www.stcharlestoyota.net/service/service-specials/
https://www.toyotadm.com/cc-service-options-at-toyota-of-des-moines/</x:v>
      </x:c>
      <x:c r="H9" s="12" t="str">
        <x:f>VLOOKUP(D9,'Cost Assumptions'!$A$5:$E$20,5,FALSE)</x:f>
        <x:v>Rounded dealer menu average for synthetic oil + filter.</x:v>
      </x:c>
    </x:row>
    <x:row r="10" ht="36" customHeight="1">
      <x:c r="A10" s="12" t="n">
        <x:v>10</x:v>
      </x:c>
      <x:c r="B10" s="5" t="inlineStr">
        <x:is>
          <x:t xml:space="preserve">White</x:t>
        </x:is>
      </x:c>
      <x:c r="C10" s="12" t="inlineStr">
        <x:is>
          <x:t xml:space="preserve">Required</x:t>
        </x:is>
      </x:c>
      <x:c r="D10" s="12" t="n">
        <x:v>2</x:v>
      </x:c>
      <x:c r="E10" s="12" t="inlineStr">
        <x:is>
          <x:t xml:space="preserve">Tire rotation and inspect for damage</x:t>
        </x:is>
      </x:c>
      <x:c r="F10" s="8">
        <x:f>VLOOKUP(D10,'Cost Assumptions'!$A$5:$E$20,3,FALSE)</x:f>
        <x:v>30</x:v>
      </x:c>
      <x:c r="G10" s="12" t="str">
        <x:f>VLOOKUP(D10,'Cost Assumptions'!$A$5:$E$20,4,FALSE)</x:f>
        <x:v>https://www.monkentoyotamtvernon.com/service-pricing.html
https://www.toyotaofirving.com/service-menu-pricing/
https://www.toyotadm.com/cc-service-options-at-toyota-of-des-moines/</x:v>
      </x:c>
      <x:c r="H10" s="12" t="str">
        <x:f>VLOOKUP(D10,'Cost Assumptions'!$A$5:$E$20,5,FALSE)</x:f>
        <x:v>Rounded dealer rotation special / menu average.</x:v>
      </x:c>
    </x:row>
    <x:row r="11" ht="36" customHeight="1">
      <x:c r="A11" s="12" t="n">
        <x:v>10</x:v>
      </x:c>
      <x:c r="B11" s="6" t="inlineStr">
        <x:is>
          <x:t xml:space="preserve">Yellow</x:t>
        </x:is>
      </x:c>
      <x:c r="C11" s="12" t="inlineStr">
        <x:is>
          <x:t xml:space="preserve">As-needed</x:t>
        </x:is>
      </x:c>
      <x:c r="D11" s="12" t="n">
        <x:v>4</x:v>
      </x:c>
      <x:c r="E11" s="12" t="inlineStr">
        <x:is>
          <x:t xml:space="preserve">Engine intake air filter</x:t>
        </x:is>
      </x:c>
      <x:c r="F11" s="8">
        <x:f>VLOOKUP(D11,'Cost Assumptions'!$A$5:$E$20,3,FALSE)</x:f>
        <x:v>40</x:v>
      </x:c>
      <x:c r="G11" s="12" t="str">
        <x:f>VLOOKUP(D11,'Cost Assumptions'!$A$5:$E$20,4,FALSE)</x:f>
        <x:v>https://www.stcharlestoyota.net/service/service-specials/
https://www.toyotaofirving.com/service-menu-pricing/
https://www.monkentoyotamtvernon.com/service-pricing.html</x:v>
      </x:c>
      <x:c r="H11" s="12" t="str">
        <x:f>VLOOKUP(D11,'Cost Assumptions'!$A$5:$E$20,5,FALSE)</x:f>
        <x:v>Rounded from multiple dealer air-filter menu prices.</x:v>
      </x:c>
    </x:row>
    <x:row r="12" ht="36" customHeight="1">
      <x:c r="A12" s="12" t="n">
        <x:v>10</x:v>
      </x:c>
      <x:c r="B12" s="6" t="inlineStr">
        <x:is>
          <x:t xml:space="preserve">Yellow</x:t>
        </x:is>
      </x:c>
      <x:c r="C12" s="12" t="inlineStr">
        <x:is>
          <x:t xml:space="preserve">As-needed</x:t>
        </x:is>
      </x:c>
      <x:c r="D12" s="12" t="n">
        <x:v>14</x:v>
      </x:c>
      <x:c r="E12" s="12" t="inlineStr">
        <x:is>
          <x:t xml:space="preserve">Front brake pads</x:t>
        </x:is>
      </x:c>
      <x:c r="F12" s="8">
        <x:f>VLOOKUP(D12,'Cost Assumptions'!$A$5:$E$20,3,FALSE)</x:f>
        <x:v>300</x:v>
      </x:c>
      <x:c r="G12" s="12" t="str">
        <x:f>VLOOKUP(D12,'Cost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12" s="12" t="str">
        <x:f>VLOOKUP(D12,'Cost Assumptions'!$A$5:$E$20,5,FALSE)</x:f>
        <x:v>Rounded from dealer front/rear pad replacement menus and Toyota brake ranges.</x:v>
      </x:c>
    </x:row>
    <x:row r="13" ht="36" customHeight="1">
      <x:c r="A13" s="12" t="n">
        <x:v>10</x:v>
      </x:c>
      <x:c r="B13" s="7" t="inlineStr">
        <x:is>
          <x:t xml:space="preserve">Red</x:t>
        </x:is>
      </x:c>
      <x:c r="C13" s="12" t="inlineStr">
        <x:is>
          <x:t xml:space="preserve">Required</x:t>
        </x:is>
      </x:c>
      <x:c r="D13" s="12" t="n">
        <x:v>5</x:v>
      </x:c>
      <x:c r="E13" s="12" t="inlineStr">
        <x:is>
          <x:t xml:space="preserve">Grease driveshaft (lithium chassis grease)</x:t>
        </x:is>
      </x:c>
      <x:c r="F13" s="8">
        <x:f>VLOOKUP(D13,'Cost Assumptions'!$A$5:$E$20,3,FALSE)</x:f>
        <x:v>95</x:v>
      </x:c>
      <x:c r="G13" s="12" t="str">
        <x:f>VLOOKUP(D13,'Cost Assumptions'!$A$5:$E$20,4,FALSE)</x:f>
        <x:v>https://www.yourmechanic.com/estimates/toyota/tacoma/lubricate-driveshaft
No strong current Toyota dealer menu pricing found; editable estimate.</x:v>
      </x:c>
      <x:c r="H13" s="12" t="str">
        <x:f>VLOOKUP(D13,'Cost Assumptions'!$A$5:$E$20,5,FALSE)</x:f>
        <x:v>Estimated placeholder; verify locally. Many dealers bundle this into a mileage service.</x:v>
      </x:c>
    </x:row>
    <x:row r="14" ht="36" customHeight="1">
      <x:c r="A14" s="12" t="n">
        <x:v>15</x:v>
      </x:c>
      <x:c r="B14" s="5" t="inlineStr">
        <x:is>
          <x:t xml:space="preserve">White</x:t>
        </x:is>
      </x:c>
      <x:c r="C14" s="12" t="inlineStr">
        <x:is>
          <x:t xml:space="preserve">Required</x:t>
        </x:is>
      </x:c>
      <x:c r="D14" s="12" t="n">
        <x:v>2</x:v>
      </x:c>
      <x:c r="E14" s="12" t="inlineStr">
        <x:is>
          <x:t xml:space="preserve">Tire rotation and inspect for damage</x:t>
        </x:is>
      </x:c>
      <x:c r="F14" s="8">
        <x:f>VLOOKUP(D14,'Cost Assumptions'!$A$5:$E$20,3,FALSE)</x:f>
        <x:v>30</x:v>
      </x:c>
      <x:c r="G14" s="12" t="str">
        <x:f>VLOOKUP(D14,'Cost Assumptions'!$A$5:$E$20,4,FALSE)</x:f>
        <x:v>https://www.monkentoyotamtvernon.com/service-pricing.html
https://www.toyotaofirving.com/service-menu-pricing/
https://www.toyotadm.com/cc-service-options-at-toyota-of-des-moines/</x:v>
      </x:c>
      <x:c r="H14" s="12" t="str">
        <x:f>VLOOKUP(D14,'Cost Assumptions'!$A$5:$E$20,5,FALSE)</x:f>
        <x:v>Rounded dealer rotation special / menu average.</x:v>
      </x:c>
    </x:row>
    <x:row r="15" ht="36" customHeight="1">
      <x:c r="A15" s="12" t="n">
        <x:v>15</x:v>
      </x:c>
      <x:c r="B15" s="5" t="inlineStr">
        <x:is>
          <x:t xml:space="preserve">White</x:t>
        </x:is>
      </x:c>
      <x:c r="C15" s="12" t="inlineStr">
        <x:is>
          <x:t xml:space="preserve">Required</x:t>
        </x:is>
      </x:c>
      <x:c r="D15" s="12" t="n">
        <x:v>5</x:v>
      </x:c>
      <x:c r="E15" s="12" t="inlineStr">
        <x:is>
          <x:t xml:space="preserve">Grease driveshaft (lithium chassis grease)</x:t>
        </x:is>
      </x:c>
      <x:c r="F15" s="8">
        <x:f>VLOOKUP(D15,'Cost Assumptions'!$A$5:$E$20,3,FALSE)</x:f>
        <x:v>95</x:v>
      </x:c>
      <x:c r="G15" s="12" t="str">
        <x:f>VLOOKUP(D15,'Cost Assumptions'!$A$5:$E$20,4,FALSE)</x:f>
        <x:v>https://www.yourmechanic.com/estimates/toyota/tacoma/lubricate-driveshaft
No strong current Toyota dealer menu pricing found; editable estimate.</x:v>
      </x:c>
      <x:c r="H15" s="12" t="str">
        <x:f>VLOOKUP(D15,'Cost Assumptions'!$A$5:$E$20,5,FALSE)</x:f>
        <x:v>Estimated placeholder; verify locally. Many dealers bundle this into a mileage service.</x:v>
      </x:c>
    </x:row>
    <x:row r="16" ht="36" customHeight="1">
      <x:c r="A16" s="12" t="n">
        <x:v>15</x:v>
      </x:c>
      <x:c r="B16" s="6" t="inlineStr">
        <x:is>
          <x:t xml:space="preserve">Yellow</x:t>
        </x:is>
      </x:c>
      <x:c r="C16" s="12" t="inlineStr">
        <x:is>
          <x:t xml:space="preserve">As-needed</x:t>
        </x:is>
      </x:c>
      <x:c r="D16" s="12" t="n">
        <x:v>4</x:v>
      </x:c>
      <x:c r="E16" s="12" t="inlineStr">
        <x:is>
          <x:t xml:space="preserve">Engine intake air filter</x:t>
        </x:is>
      </x:c>
      <x:c r="F16" s="8">
        <x:f>VLOOKUP(D16,'Cost Assumptions'!$A$5:$E$20,3,FALSE)</x:f>
        <x:v>40</x:v>
      </x:c>
      <x:c r="G16" s="12" t="str">
        <x:f>VLOOKUP(D16,'Cost Assumptions'!$A$5:$E$20,4,FALSE)</x:f>
        <x:v>https://www.stcharlestoyota.net/service/service-specials/
https://www.toyotaofirving.com/service-menu-pricing/
https://www.monkentoyotamtvernon.com/service-pricing.html</x:v>
      </x:c>
      <x:c r="H16" s="12" t="str">
        <x:f>VLOOKUP(D16,'Cost Assumptions'!$A$5:$E$20,5,FALSE)</x:f>
        <x:v>Rounded from multiple dealer air-filter menu prices.</x:v>
      </x:c>
    </x:row>
    <x:row r="17" ht="36" customHeight="1">
      <x:c r="A17" s="12" t="n">
        <x:v>15</x:v>
      </x:c>
      <x:c r="B17" s="7" t="inlineStr">
        <x:is>
          <x:t xml:space="preserve">Red</x:t>
        </x:is>
      </x:c>
      <x:c r="C17" s="12" t="inlineStr">
        <x:is>
          <x:t xml:space="preserve">Required</x:t>
        </x:is>
      </x:c>
      <x:c r="D17" s="12" t="n">
        <x:v>1</x:v>
      </x:c>
      <x:c r="E17" s="12" t="inlineStr">
        <x:is>
          <x:t xml:space="preserve">Engine oil and filter</x:t>
        </x:is>
      </x:c>
      <x:c r="F17" s="8">
        <x:f>VLOOKUP(D17,'Cost Assumptions'!$A$5:$E$20,3,FALSE)</x:f>
        <x:v>90</x:v>
      </x:c>
      <x:c r="G17" s="12" t="str">
        <x:f>VLOOKUP(D17,'Cost Assumptions'!$A$5:$E$20,4,FALSE)</x:f>
        <x:v>https://www.monkentoyotamtvernon.com/service-pricing.html
https://www.stcharlestoyota.net/service/service-specials/
https://www.toyotadm.com/cc-service-options-at-toyota-of-des-moines/</x:v>
      </x:c>
      <x:c r="H17" s="12" t="str">
        <x:f>VLOOKUP(D17,'Cost Assumptions'!$A$5:$E$20,5,FALSE)</x:f>
        <x:v>Rounded dealer menu average for synthetic oil + filter.</x:v>
      </x:c>
    </x:row>
    <x:row r="18" ht="36" customHeight="1">
      <x:c r="A18" s="12" t="n">
        <x:v>15</x:v>
      </x:c>
      <x:c r="B18" s="7" t="inlineStr">
        <x:is>
          <x:t xml:space="preserve">Red</x:t>
        </x:is>
      </x:c>
      <x:c r="C18" s="12" t="inlineStr">
        <x:is>
          <x:t xml:space="preserve">Required</x:t>
        </x:is>
      </x:c>
      <x:c r="D18" s="12" t="n">
        <x:v>7</x:v>
      </x:c>
      <x:c r="E18" s="12" t="inlineStr">
        <x:is>
          <x:t xml:space="preserve">Rear differential fluid (gear oil 75W-85 GL-5)</x:t>
        </x:is>
      </x:c>
      <x:c r="F18" s="8">
        <x:f>VLOOKUP(D18,'Cost Assumptions'!$A$5:$E$20,3,FALSE)</x:f>
        <x:v>160</x:v>
      </x:c>
      <x:c r="G18" s="12" t="str">
        <x:f>VLOOKUP(D18,'Cost Assumptions'!$A$5:$E$20,4,FALSE)</x:f>
        <x:v>https://www.monkentoyotamtvernon.com/service-pricing.html
https://www.manhattanbeachtoyota.com/recommended-service-pricing/</x:v>
      </x:c>
      <x:c r="H18" s="12" t="str">
        <x:f>VLOOKUP(D18,'Cost Assumptions'!$A$5:$E$20,5,FALSE)</x:f>
        <x:v>Rounded from dealer diff services listed about $160-$162.</x:v>
      </x:c>
    </x:row>
    <x:row r="19" ht="36" customHeight="1">
      <x:c r="A19" s="12" t="n">
        <x:v>15</x:v>
      </x:c>
      <x:c r="B19" s="7" t="inlineStr">
        <x:is>
          <x:t xml:space="preserve">Red</x:t>
        </x:is>
      </x:c>
      <x:c r="C19" s="12" t="inlineStr">
        <x:is>
          <x:t xml:space="preserve">Required</x:t>
        </x:is>
      </x:c>
      <x:c r="D19" s="12" t="n">
        <x:v>8</x:v>
      </x:c>
      <x:c r="E19" s="12" t="inlineStr">
        <x:is>
          <x:t xml:space="preserve">Front differential fluid (gear oil 75W-85 GL-5)</x:t>
        </x:is>
      </x:c>
      <x:c r="F19" s="8">
        <x:f>VLOOKUP(D19,'Cost Assumptions'!$A$5:$E$20,3,FALSE)</x:f>
        <x:v>160</x:v>
      </x:c>
      <x:c r="G19" s="12" t="str">
        <x:f>VLOOKUP(D19,'Cost Assumptions'!$A$5:$E$20,4,FALSE)</x:f>
        <x:v>https://www.monkentoyotamtvernon.com/service-pricing.html
https://www.manhattanbeachtoyota.com/recommended-service-pricing/</x:v>
      </x:c>
      <x:c r="H19" s="12" t="str">
        <x:f>VLOOKUP(D19,'Cost Assumptions'!$A$5:$E$20,5,FALSE)</x:f>
        <x:v>Rounded from dealer diff services listed about $160-$162.</x:v>
      </x:c>
    </x:row>
    <x:row r="20" ht="36" customHeight="1">
      <x:c r="A20" s="12" t="n">
        <x:v>20</x:v>
      </x:c>
      <x:c r="B20" s="5" t="inlineStr">
        <x:is>
          <x:t xml:space="preserve">White</x:t>
        </x:is>
      </x:c>
      <x:c r="C20" s="12" t="inlineStr">
        <x:is>
          <x:t xml:space="preserve">Required</x:t>
        </x:is>
      </x:c>
      <x:c r="D20" s="12" t="n">
        <x:v>1</x:v>
      </x:c>
      <x:c r="E20" s="12" t="inlineStr">
        <x:is>
          <x:t xml:space="preserve">Engine oil and filter</x:t>
        </x:is>
      </x:c>
      <x:c r="F20" s="8">
        <x:f>VLOOKUP(D20,'Cost Assumptions'!$A$5:$E$20,3,FALSE)</x:f>
        <x:v>90</x:v>
      </x:c>
      <x:c r="G20" s="12" t="str">
        <x:f>VLOOKUP(D20,'Cost Assumptions'!$A$5:$E$20,4,FALSE)</x:f>
        <x:v>https://www.monkentoyotamtvernon.com/service-pricing.html
https://www.stcharlestoyota.net/service/service-specials/
https://www.toyotadm.com/cc-service-options-at-toyota-of-des-moines/</x:v>
      </x:c>
      <x:c r="H20" s="12" t="str">
        <x:f>VLOOKUP(D20,'Cost Assumptions'!$A$5:$E$20,5,FALSE)</x:f>
        <x:v>Rounded dealer menu average for synthetic oil + filter.</x:v>
      </x:c>
    </x:row>
    <x:row r="21" ht="36" customHeight="1">
      <x:c r="A21" s="12" t="n">
        <x:v>20</x:v>
      </x:c>
      <x:c r="B21" s="5" t="inlineStr">
        <x:is>
          <x:t xml:space="preserve">White</x:t>
        </x:is>
      </x:c>
      <x:c r="C21" s="12" t="inlineStr">
        <x:is>
          <x:t xml:space="preserve">Required</x:t>
        </x:is>
      </x:c>
      <x:c r="D21" s="12" t="n">
        <x:v>2</x:v>
      </x:c>
      <x:c r="E21" s="12" t="inlineStr">
        <x:is>
          <x:t xml:space="preserve">Tire rotation and inspect for damage</x:t>
        </x:is>
      </x:c>
      <x:c r="F21" s="8">
        <x:f>VLOOKUP(D21,'Cost Assumptions'!$A$5:$E$20,3,FALSE)</x:f>
        <x:v>30</x:v>
      </x:c>
      <x:c r="G21" s="12" t="str">
        <x:f>VLOOKUP(D21,'Cost Assumptions'!$A$5:$E$20,4,FALSE)</x:f>
        <x:v>https://www.monkentoyotamtvernon.com/service-pricing.html
https://www.toyotaofirving.com/service-menu-pricing/
https://www.toyotadm.com/cc-service-options-at-toyota-of-des-moines/</x:v>
      </x:c>
      <x:c r="H21" s="12" t="str">
        <x:f>VLOOKUP(D21,'Cost Assumptions'!$A$5:$E$20,5,FALSE)</x:f>
        <x:v>Rounded dealer rotation special / menu average.</x:v>
      </x:c>
    </x:row>
    <x:row r="22" ht="36" customHeight="1">
      <x:c r="A22" s="12" t="n">
        <x:v>20</x:v>
      </x:c>
      <x:c r="B22" s="5" t="inlineStr">
        <x:is>
          <x:t xml:space="preserve">White</x:t>
        </x:is>
      </x:c>
      <x:c r="C22" s="12" t="inlineStr">
        <x:is>
          <x:t xml:space="preserve">Required</x:t>
        </x:is>
      </x:c>
      <x:c r="D22" s="12" t="n">
        <x:v>3</x:v>
      </x:c>
      <x:c r="E22" s="12" t="inlineStr">
        <x:is>
          <x:t xml:space="preserve">Cabin air filter</x:t>
        </x:is>
      </x:c>
      <x:c r="F22" s="8">
        <x:f>VLOOKUP(D22,'Cost Assumptions'!$A$5:$E$20,3,FALSE)</x:f>
        <x:v>70</x:v>
      </x:c>
      <x:c r="G22" s="12" t="str">
        <x:f>VLOOKUP(D22,'Cost Assumptions'!$A$5:$E$20,4,FALSE)</x:f>
        <x:v>https://www.earlstewarttoyota.com/service/services-pricing/
https://www.toyotaofirving.com/service-menu-pricing/
https://www.toyotacarson.com/service/service-specials/</x:v>
      </x:c>
      <x:c r="H22" s="12" t="str">
        <x:f>VLOOKUP(D22,'Cost Assumptions'!$A$5:$E$20,5,FALSE)</x:f>
        <x:v>Rounded from multiple dealer filter replacement offers.</x:v>
      </x:c>
    </x:row>
    <x:row r="23" ht="36" customHeight="1">
      <x:c r="A23" s="12" t="n">
        <x:v>20</x:v>
      </x:c>
      <x:c r="B23" s="6" t="inlineStr">
        <x:is>
          <x:t xml:space="preserve">Yellow</x:t>
        </x:is>
      </x:c>
      <x:c r="C23" s="12" t="inlineStr">
        <x:is>
          <x:t xml:space="preserve">As-needed</x:t>
        </x:is>
      </x:c>
      <x:c r="D23" s="12" t="n">
        <x:v>4</x:v>
      </x:c>
      <x:c r="E23" s="12" t="inlineStr">
        <x:is>
          <x:t xml:space="preserve">Engine intake air filter</x:t>
        </x:is>
      </x:c>
      <x:c r="F23" s="8">
        <x:f>VLOOKUP(D23,'Cost Assumptions'!$A$5:$E$20,3,FALSE)</x:f>
        <x:v>40</x:v>
      </x:c>
      <x:c r="G23" s="12" t="str">
        <x:f>VLOOKUP(D23,'Cost Assumptions'!$A$5:$E$20,4,FALSE)</x:f>
        <x:v>https://www.stcharlestoyota.net/service/service-specials/
https://www.toyotaofirving.com/service-menu-pricing/
https://www.monkentoyotamtvernon.com/service-pricing.html</x:v>
      </x:c>
      <x:c r="H23" s="12" t="str">
        <x:f>VLOOKUP(D23,'Cost Assumptions'!$A$5:$E$20,5,FALSE)</x:f>
        <x:v>Rounded from multiple dealer air-filter menu prices.</x:v>
      </x:c>
    </x:row>
    <x:row r="24" ht="36" customHeight="1">
      <x:c r="A24" s="12" t="n">
        <x:v>20</x:v>
      </x:c>
      <x:c r="B24" s="6" t="inlineStr">
        <x:is>
          <x:t xml:space="preserve">Yellow</x:t>
        </x:is>
      </x:c>
      <x:c r="C24" s="12" t="inlineStr">
        <x:is>
          <x:t xml:space="preserve">As-needed</x:t>
        </x:is>
      </x:c>
      <x:c r="D24" s="12" t="n">
        <x:v>13</x:v>
      </x:c>
      <x:c r="E24" s="12" t="inlineStr">
        <x:is>
          <x:t xml:space="preserve">Rear brake shoes</x:t>
        </x:is>
      </x:c>
      <x:c r="F24" s="8">
        <x:f>VLOOKUP(D24,'Cost Assumptions'!$A$5:$E$20,3,FALSE)</x:f>
        <x:v>360</x:v>
      </x:c>
      <x:c r="G24" s="12" t="str">
        <x:f>VLOOKUP(D24,'Cost Assumptions'!$A$5:$E$20,4,FALSE)</x:f>
        <x:v>https://repairpal.com/estimator/brake-shoes-replacement-cost
https://repairpal.com/estimator/toyota/pickup/brake-shoes-replacement-cost
Dealer menus were sparse; editable estimate.</x:v>
      </x:c>
      <x:c r="H24" s="12" t="str">
        <x:f>VLOOKUP(D24,'Cost Assumptions'!$A$5:$E$20,5,FALSE)</x:f>
        <x:v>Sparse dealer menu data; editable estimate based on published replacement ranges.</x:v>
      </x:c>
    </x:row>
    <x:row r="25" ht="36" customHeight="1">
      <x:c r="A25" s="12" t="n">
        <x:v>20</x:v>
      </x:c>
      <x:c r="B25" s="6" t="inlineStr">
        <x:is>
          <x:t xml:space="preserve">Yellow</x:t>
        </x:is>
      </x:c>
      <x:c r="C25" s="12" t="inlineStr">
        <x:is>
          <x:t xml:space="preserve">As-needed</x:t>
        </x:is>
      </x:c>
      <x:c r="D25" s="12" t="n">
        <x:v>14</x:v>
      </x:c>
      <x:c r="E25" s="12" t="inlineStr">
        <x:is>
          <x:t xml:space="preserve">Front brake pads</x:t>
        </x:is>
      </x:c>
      <x:c r="F25" s="8">
        <x:f>VLOOKUP(D25,'Cost Assumptions'!$A$5:$E$20,3,FALSE)</x:f>
        <x:v>300</x:v>
      </x:c>
      <x:c r="G25" s="12" t="str">
        <x:f>VLOOKUP(D25,'Cost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25" s="12" t="str">
        <x:f>VLOOKUP(D25,'Cost Assumptions'!$A$5:$E$20,5,FALSE)</x:f>
        <x:v>Rounded from dealer front/rear pad replacement menus and Toyota brake ranges.</x:v>
      </x:c>
    </x:row>
    <x:row r="26" ht="36" customHeight="1">
      <x:c r="A26" s="12" t="n">
        <x:v>20</x:v>
      </x:c>
      <x:c r="B26" s="7" t="inlineStr">
        <x:is>
          <x:t xml:space="preserve">Red</x:t>
        </x:is>
      </x:c>
      <x:c r="C26" s="12" t="inlineStr">
        <x:is>
          <x:t xml:space="preserve">Required</x:t>
        </x:is>
      </x:c>
      <x:c r="D26" s="12" t="n">
        <x:v>5</x:v>
      </x:c>
      <x:c r="E26" s="12" t="inlineStr">
        <x:is>
          <x:t xml:space="preserve">Grease driveshaft (lithium chassis grease)</x:t>
        </x:is>
      </x:c>
      <x:c r="F26" s="8">
        <x:f>VLOOKUP(D26,'Cost Assumptions'!$A$5:$E$20,3,FALSE)</x:f>
        <x:v>95</x:v>
      </x:c>
      <x:c r="G26" s="12" t="str">
        <x:f>VLOOKUP(D26,'Cost Assumptions'!$A$5:$E$20,4,FALSE)</x:f>
        <x:v>https://www.yourmechanic.com/estimates/toyota/tacoma/lubricate-driveshaft
No strong current Toyota dealer menu pricing found; editable estimate.</x:v>
      </x:c>
      <x:c r="H26" s="12" t="str">
        <x:f>VLOOKUP(D26,'Cost Assumptions'!$A$5:$E$20,5,FALSE)</x:f>
        <x:v>Estimated placeholder; verify locally. Many dealers bundle this into a mileage service.</x:v>
      </x:c>
    </x:row>
    <x:row r="27" ht="36" customHeight="1">
      <x:c r="A27" s="12" t="n">
        <x:v>25</x:v>
      </x:c>
      <x:c r="B27" s="5" t="inlineStr">
        <x:is>
          <x:t xml:space="preserve">White</x:t>
        </x:is>
      </x:c>
      <x:c r="C27" s="12" t="inlineStr">
        <x:is>
          <x:t xml:space="preserve">Required</x:t>
        </x:is>
      </x:c>
      <x:c r="D27" s="12" t="n">
        <x:v>2</x:v>
      </x:c>
      <x:c r="E27" s="12" t="inlineStr">
        <x:is>
          <x:t xml:space="preserve">Tire rotation and inspect for damage</x:t>
        </x:is>
      </x:c>
      <x:c r="F27" s="8">
        <x:f>VLOOKUP(D27,'Cost Assumptions'!$A$5:$E$20,3,FALSE)</x:f>
        <x:v>30</x:v>
      </x:c>
      <x:c r="G27" s="12" t="str">
        <x:f>VLOOKUP(D27,'Cost Assumptions'!$A$5:$E$20,4,FALSE)</x:f>
        <x:v>https://www.monkentoyotamtvernon.com/service-pricing.html
https://www.toyotaofirving.com/service-menu-pricing/
https://www.toyotadm.com/cc-service-options-at-toyota-of-des-moines/</x:v>
      </x:c>
      <x:c r="H27" s="12" t="str">
        <x:f>VLOOKUP(D27,'Cost Assumptions'!$A$5:$E$20,5,FALSE)</x:f>
        <x:v>Rounded dealer rotation special / menu average.</x:v>
      </x:c>
    </x:row>
    <x:row r="28" ht="36" customHeight="1">
      <x:c r="A28" s="12" t="n">
        <x:v>25</x:v>
      </x:c>
      <x:c r="B28" s="6" t="inlineStr">
        <x:is>
          <x:t xml:space="preserve">Yellow</x:t>
        </x:is>
      </x:c>
      <x:c r="C28" s="12" t="inlineStr">
        <x:is>
          <x:t xml:space="preserve">As-needed</x:t>
        </x:is>
      </x:c>
      <x:c r="D28" s="12" t="n">
        <x:v>4</x:v>
      </x:c>
      <x:c r="E28" s="12" t="inlineStr">
        <x:is>
          <x:t xml:space="preserve">Engine intake air filter</x:t>
        </x:is>
      </x:c>
      <x:c r="F28" s="8">
        <x:f>VLOOKUP(D28,'Cost Assumptions'!$A$5:$E$20,3,FALSE)</x:f>
        <x:v>40</x:v>
      </x:c>
      <x:c r="G28" s="12" t="str">
        <x:f>VLOOKUP(D28,'Cost Assumptions'!$A$5:$E$20,4,FALSE)</x:f>
        <x:v>https://www.stcharlestoyota.net/service/service-specials/
https://www.toyotaofirving.com/service-menu-pricing/
https://www.monkentoyotamtvernon.com/service-pricing.html</x:v>
      </x:c>
      <x:c r="H28" s="12" t="str">
        <x:f>VLOOKUP(D28,'Cost Assumptions'!$A$5:$E$20,5,FALSE)</x:f>
        <x:v>Rounded from multiple dealer air-filter menu prices.</x:v>
      </x:c>
    </x:row>
    <x:row r="29" ht="36" customHeight="1">
      <x:c r="A29" s="12" t="n">
        <x:v>25</x:v>
      </x:c>
      <x:c r="B29" s="6" t="inlineStr">
        <x:is>
          <x:t xml:space="preserve">Yellow</x:t>
        </x:is>
      </x:c>
      <x:c r="C29" s="12" t="inlineStr">
        <x:is>
          <x:t xml:space="preserve">As-needed</x:t>
        </x:is>
      </x:c>
      <x:c r="D29" s="12" t="n">
        <x:v>16</x:v>
      </x:c>
      <x:c r="E29" s="12" t="inlineStr">
        <x:is>
          <x:t xml:space="preserve">Brake fluid</x:t>
        </x:is>
      </x:c>
      <x:c r="F29" s="8">
        <x:f>VLOOKUP(D29,'Cost Assumptions'!$A$5:$E$20,3,FALSE)</x:f>
        <x:v>185</x:v>
      </x:c>
      <x:c r="G29" s="12" t="str">
        <x:f>VLOOKUP(D29,'Cost Assumptions'!$A$5:$E$20,4,FALSE)</x:f>
        <x:v>https://www.monkentoyotamtvernon.com/service-pricing.html
https://www.toyotaofirving.com/service-menu-pricing/
https://www.maticktoyota.com/service-menu.html</x:v>
      </x:c>
      <x:c r="H29" s="12" t="str">
        <x:f>VLOOKUP(D29,'Cost Assumptions'!$A$5:$E$20,5,FALSE)</x:f>
        <x:v>Rounded from dealer brake-fluid exchange menus.</x:v>
      </x:c>
    </x:row>
    <x:row r="30" ht="36" customHeight="1">
      <x:c r="A30" s="12" t="n">
        <x:v>25</x:v>
      </x:c>
      <x:c r="B30" s="7" t="inlineStr">
        <x:is>
          <x:t xml:space="preserve">Red</x:t>
        </x:is>
      </x:c>
      <x:c r="C30" s="12" t="inlineStr">
        <x:is>
          <x:t xml:space="preserve">Required</x:t>
        </x:is>
      </x:c>
      <x:c r="D30" s="12" t="n">
        <x:v>1</x:v>
      </x:c>
      <x:c r="E30" s="12" t="inlineStr">
        <x:is>
          <x:t xml:space="preserve">Engine oil and filter</x:t>
        </x:is>
      </x:c>
      <x:c r="F30" s="8">
        <x:f>VLOOKUP(D30,'Cost Assumptions'!$A$5:$E$20,3,FALSE)</x:f>
        <x:v>90</x:v>
      </x:c>
      <x:c r="G30" s="12" t="str">
        <x:f>VLOOKUP(D30,'Cost Assumptions'!$A$5:$E$20,4,FALSE)</x:f>
        <x:v>https://www.monkentoyotamtvernon.com/service-pricing.html
https://www.stcharlestoyota.net/service/service-specials/
https://www.toyotadm.com/cc-service-options-at-toyota-of-des-moines/</x:v>
      </x:c>
      <x:c r="H30" s="12" t="str">
        <x:f>VLOOKUP(D30,'Cost Assumptions'!$A$5:$E$20,5,FALSE)</x:f>
        <x:v>Rounded dealer menu average for synthetic oil + filter.</x:v>
      </x:c>
    </x:row>
    <x:row r="31" ht="36" customHeight="1">
      <x:c r="A31" s="12" t="n">
        <x:v>25</x:v>
      </x:c>
      <x:c r="B31" s="7" t="inlineStr">
        <x:is>
          <x:t xml:space="preserve">Red</x:t>
        </x:is>
      </x:c>
      <x:c r="C31" s="12" t="inlineStr">
        <x:is>
          <x:t xml:space="preserve">Required</x:t>
        </x:is>
      </x:c>
      <x:c r="D31" s="12" t="n">
        <x:v>5</x:v>
      </x:c>
      <x:c r="E31" s="12" t="inlineStr">
        <x:is>
          <x:t xml:space="preserve">Grease driveshaft (lithium chassis grease)</x:t>
        </x:is>
      </x:c>
      <x:c r="F31" s="8">
        <x:f>VLOOKUP(D31,'Cost Assumptions'!$A$5:$E$20,3,FALSE)</x:f>
        <x:v>95</x:v>
      </x:c>
      <x:c r="G31" s="12" t="str">
        <x:f>VLOOKUP(D31,'Cost Assumptions'!$A$5:$E$20,4,FALSE)</x:f>
        <x:v>https://www.yourmechanic.com/estimates/toyota/tacoma/lubricate-driveshaft
No strong current Toyota dealer menu pricing found; editable estimate.</x:v>
      </x:c>
      <x:c r="H31" s="12" t="str">
        <x:f>VLOOKUP(D31,'Cost Assumptions'!$A$5:$E$20,5,FALSE)</x:f>
        <x:v>Estimated placeholder; verify locally. Many dealers bundle this into a mileage service.</x:v>
      </x:c>
    </x:row>
    <x:row r="32" ht="36" customHeight="1">
      <x:c r="A32" s="12" t="n">
        <x:v>30</x:v>
      </x:c>
      <x:c r="B32" s="5" t="inlineStr">
        <x:is>
          <x:t xml:space="preserve">White</x:t>
        </x:is>
      </x:c>
      <x:c r="C32" s="12" t="inlineStr">
        <x:is>
          <x:t xml:space="preserve">Required</x:t>
        </x:is>
      </x:c>
      <x:c r="D32" s="12" t="n">
        <x:v>1</x:v>
      </x:c>
      <x:c r="E32" s="12" t="inlineStr">
        <x:is>
          <x:t xml:space="preserve">Engine oil and filter</x:t>
        </x:is>
      </x:c>
      <x:c r="F32" s="8">
        <x:f>VLOOKUP(D32,'Cost Assumptions'!$A$5:$E$20,3,FALSE)</x:f>
        <x:v>90</x:v>
      </x:c>
      <x:c r="G32" s="12" t="str">
        <x:f>VLOOKUP(D32,'Cost Assumptions'!$A$5:$E$20,4,FALSE)</x:f>
        <x:v>https://www.monkentoyotamtvernon.com/service-pricing.html
https://www.stcharlestoyota.net/service/service-specials/
https://www.toyotadm.com/cc-service-options-at-toyota-of-des-moines/</x:v>
      </x:c>
      <x:c r="H32" s="12" t="str">
        <x:f>VLOOKUP(D32,'Cost Assumptions'!$A$5:$E$20,5,FALSE)</x:f>
        <x:v>Rounded dealer menu average for synthetic oil + filter.</x:v>
      </x:c>
    </x:row>
    <x:row r="33" ht="36" customHeight="1">
      <x:c r="A33" s="12" t="n">
        <x:v>30</x:v>
      </x:c>
      <x:c r="B33" s="5" t="inlineStr">
        <x:is>
          <x:t xml:space="preserve">White</x:t>
        </x:is>
      </x:c>
      <x:c r="C33" s="12" t="inlineStr">
        <x:is>
          <x:t xml:space="preserve">Required</x:t>
        </x:is>
      </x:c>
      <x:c r="D33" s="12" t="n">
        <x:v>2</x:v>
      </x:c>
      <x:c r="E33" s="12" t="inlineStr">
        <x:is>
          <x:t xml:space="preserve">Tire rotation and inspect for damage</x:t>
        </x:is>
      </x:c>
      <x:c r="F33" s="8">
        <x:f>VLOOKUP(D33,'Cost Assumptions'!$A$5:$E$20,3,FALSE)</x:f>
        <x:v>30</x:v>
      </x:c>
      <x:c r="G33" s="12" t="str">
        <x:f>VLOOKUP(D33,'Cost Assumptions'!$A$5:$E$20,4,FALSE)</x:f>
        <x:v>https://www.monkentoyotamtvernon.com/service-pricing.html
https://www.toyotaofirving.com/service-menu-pricing/
https://www.toyotadm.com/cc-service-options-at-toyota-of-des-moines/</x:v>
      </x:c>
      <x:c r="H33" s="12" t="str">
        <x:f>VLOOKUP(D33,'Cost Assumptions'!$A$5:$E$20,5,FALSE)</x:f>
        <x:v>Rounded dealer rotation special / menu average.</x:v>
      </x:c>
    </x:row>
    <x:row r="34" ht="36" customHeight="1">
      <x:c r="A34" s="12" t="n">
        <x:v>30</x:v>
      </x:c>
      <x:c r="B34" s="5" t="inlineStr">
        <x:is>
          <x:t xml:space="preserve">White</x:t>
        </x:is>
      </x:c>
      <x:c r="C34" s="12" t="inlineStr">
        <x:is>
          <x:t xml:space="preserve">Required</x:t>
        </x:is>
      </x:c>
      <x:c r="D34" s="12" t="n">
        <x:v>5</x:v>
      </x:c>
      <x:c r="E34" s="12" t="inlineStr">
        <x:is>
          <x:t xml:space="preserve">Grease driveshaft (lithium chassis grease)</x:t>
        </x:is>
      </x:c>
      <x:c r="F34" s="8">
        <x:f>VLOOKUP(D34,'Cost Assumptions'!$A$5:$E$20,3,FALSE)</x:f>
        <x:v>95</x:v>
      </x:c>
      <x:c r="G34" s="12" t="str">
        <x:f>VLOOKUP(D34,'Cost Assumptions'!$A$5:$E$20,4,FALSE)</x:f>
        <x:v>https://www.yourmechanic.com/estimates/toyota/tacoma/lubricate-driveshaft
No strong current Toyota dealer menu pricing found; editable estimate.</x:v>
      </x:c>
      <x:c r="H34" s="12" t="str">
        <x:f>VLOOKUP(D34,'Cost Assumptions'!$A$5:$E$20,5,FALSE)</x:f>
        <x:v>Estimated placeholder; verify locally. Many dealers bundle this into a mileage service.</x:v>
      </x:c>
    </x:row>
    <x:row r="35" ht="36" customHeight="1">
      <x:c r="A35" s="12" t="n">
        <x:v>30</x:v>
      </x:c>
      <x:c r="B35" s="5" t="inlineStr">
        <x:is>
          <x:t xml:space="preserve">White</x:t>
        </x:is>
      </x:c>
      <x:c r="C35" s="12" t="inlineStr">
        <x:is>
          <x:t xml:space="preserve">Required</x:t>
        </x:is>
      </x:c>
      <x:c r="D35" s="12" t="n">
        <x:v>7</x:v>
      </x:c>
      <x:c r="E35" s="12" t="inlineStr">
        <x:is>
          <x:t xml:space="preserve">Rear differential fluid (gear oil 75W-85 GL-5)</x:t>
        </x:is>
      </x:c>
      <x:c r="F35" s="8">
        <x:f>VLOOKUP(D35,'Cost Assumptions'!$A$5:$E$20,3,FALSE)</x:f>
        <x:v>160</x:v>
      </x:c>
      <x:c r="G35" s="12" t="str">
        <x:f>VLOOKUP(D35,'Cost Assumptions'!$A$5:$E$20,4,FALSE)</x:f>
        <x:v>https://www.monkentoyotamtvernon.com/service-pricing.html
https://www.manhattanbeachtoyota.com/recommended-service-pricing/</x:v>
      </x:c>
      <x:c r="H35" s="12" t="str">
        <x:f>VLOOKUP(D35,'Cost Assumptions'!$A$5:$E$20,5,FALSE)</x:f>
        <x:v>Rounded from dealer diff services listed about $160-$162.</x:v>
      </x:c>
    </x:row>
    <x:row r="36" ht="36" customHeight="1">
      <x:c r="A36" s="12" t="n">
        <x:v>30</x:v>
      </x:c>
      <x:c r="B36" s="5" t="inlineStr">
        <x:is>
          <x:t xml:space="preserve">White</x:t>
        </x:is>
      </x:c>
      <x:c r="C36" s="12" t="inlineStr">
        <x:is>
          <x:t xml:space="preserve">Required</x:t>
        </x:is>
      </x:c>
      <x:c r="D36" s="12" t="n">
        <x:v>8</x:v>
      </x:c>
      <x:c r="E36" s="12" t="inlineStr">
        <x:is>
          <x:t xml:space="preserve">Front differential fluid (gear oil 75W-85 GL-5)</x:t>
        </x:is>
      </x:c>
      <x:c r="F36" s="8">
        <x:f>VLOOKUP(D36,'Cost Assumptions'!$A$5:$E$20,3,FALSE)</x:f>
        <x:v>160</x:v>
      </x:c>
      <x:c r="G36" s="12" t="str">
        <x:f>VLOOKUP(D36,'Cost Assumptions'!$A$5:$E$20,4,FALSE)</x:f>
        <x:v>https://www.monkentoyotamtvernon.com/service-pricing.html
https://www.manhattanbeachtoyota.com/recommended-service-pricing/</x:v>
      </x:c>
      <x:c r="H36" s="12" t="str">
        <x:f>VLOOKUP(D36,'Cost Assumptions'!$A$5:$E$20,5,FALSE)</x:f>
        <x:v>Rounded from dealer diff services listed about $160-$162.</x:v>
      </x:c>
    </x:row>
    <x:row r="37" ht="36" customHeight="1">
      <x:c r="A37" s="12" t="n">
        <x:v>30</x:v>
      </x:c>
      <x:c r="B37" s="6" t="inlineStr">
        <x:is>
          <x:t xml:space="preserve">Yellow</x:t>
        </x:is>
      </x:c>
      <x:c r="C37" s="12" t="inlineStr">
        <x:is>
          <x:t xml:space="preserve">As-needed</x:t>
        </x:is>
      </x:c>
      <x:c r="D37" s="12" t="n">
        <x:v>4</x:v>
      </x:c>
      <x:c r="E37" s="12" t="inlineStr">
        <x:is>
          <x:t xml:space="preserve">Engine intake air filter</x:t>
        </x:is>
      </x:c>
      <x:c r="F37" s="8">
        <x:f>VLOOKUP(D37,'Cost Assumptions'!$A$5:$E$20,3,FALSE)</x:f>
        <x:v>40</x:v>
      </x:c>
      <x:c r="G37" s="12" t="str">
        <x:f>VLOOKUP(D37,'Cost Assumptions'!$A$5:$E$20,4,FALSE)</x:f>
        <x:v>https://www.stcharlestoyota.net/service/service-specials/
https://www.toyotaofirving.com/service-menu-pricing/
https://www.monkentoyotamtvernon.com/service-pricing.html</x:v>
      </x:c>
      <x:c r="H37" s="12" t="str">
        <x:f>VLOOKUP(D37,'Cost Assumptions'!$A$5:$E$20,5,FALSE)</x:f>
        <x:v>Rounded from multiple dealer air-filter menu prices.</x:v>
      </x:c>
    </x:row>
    <x:row r="38" ht="36" customHeight="1">
      <x:c r="A38" s="12" t="n">
        <x:v>30</x:v>
      </x:c>
      <x:c r="B38" s="6" t="inlineStr">
        <x:is>
          <x:t xml:space="preserve">Yellow</x:t>
        </x:is>
      </x:c>
      <x:c r="C38" s="12" t="inlineStr">
        <x:is>
          <x:t xml:space="preserve">As-needed</x:t>
        </x:is>
      </x:c>
      <x:c r="D38" s="12" t="n">
        <x:v>14</x:v>
      </x:c>
      <x:c r="E38" s="12" t="inlineStr">
        <x:is>
          <x:t xml:space="preserve">Front brake pads</x:t>
        </x:is>
      </x:c>
      <x:c r="F38" s="8">
        <x:f>VLOOKUP(D38,'Cost Assumptions'!$A$5:$E$20,3,FALSE)</x:f>
        <x:v>300</x:v>
      </x:c>
      <x:c r="G38" s="12" t="str">
        <x:f>VLOOKUP(D38,'Cost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38" s="12" t="str">
        <x:f>VLOOKUP(D38,'Cost Assumptions'!$A$5:$E$20,5,FALSE)</x:f>
        <x:v>Rounded from dealer front/rear pad replacement menus and Toyota brake ranges.</x:v>
      </x:c>
    </x:row>
    <x:row r="39" ht="36" customHeight="1">
      <x:c r="A39" s="12" t="n">
        <x:v>30</x:v>
      </x:c>
      <x:c r="B39" s="7" t="inlineStr">
        <x:is>
          <x:t xml:space="preserve">Red</x:t>
        </x:is>
      </x:c>
      <x:c r="C39" s="12" t="inlineStr">
        <x:is>
          <x:t xml:space="preserve">Required</x:t>
        </x:is>
      </x:c>
      <x:c r="D39" s="12" t="n">
        <x:v>6</x:v>
      </x:c>
      <x:c r="E39" s="12" t="inlineStr">
        <x:is>
          <x:t xml:space="preserve">Transfer case oil (gear oil LF 75W)</x:t>
        </x:is>
      </x:c>
      <x:c r="F39" s="8">
        <x:f>VLOOKUP(D39,'Cost Assumptions'!$A$5:$E$20,3,FALSE)</x:f>
        <x:v>185</x:v>
      </x:c>
      <x:c r="G39" s="12" t="str">
        <x:f>VLOOKUP(D39,'Cost Assumptions'!$A$5:$E$20,4,FALSE)</x:f>
        <x:v>https://www.monkentoyotamtvernon.com/service-pricing.html
https://www.elmhursttoyota.com/rear-differential-coupon/</x:v>
      </x:c>
      <x:c r="H39" s="12" t="str">
        <x:f>VLOOKUP(D39,'Cost Assumptions'!$A$5:$E$20,5,FALSE)</x:f>
        <x:v>Rounded from dealer transfer-case services listed around $173-$200.</x:v>
      </x:c>
    </x:row>
    <x:row r="40" ht="36" customHeight="1">
      <x:c r="A40" s="12" t="n">
        <x:v>35</x:v>
      </x:c>
      <x:c r="B40" s="5" t="inlineStr">
        <x:is>
          <x:t xml:space="preserve">White</x:t>
        </x:is>
      </x:c>
      <x:c r="C40" s="12" t="inlineStr">
        <x:is>
          <x:t xml:space="preserve">Required</x:t>
        </x:is>
      </x:c>
      <x:c r="D40" s="12" t="n">
        <x:v>2</x:v>
      </x:c>
      <x:c r="E40" s="12" t="inlineStr">
        <x:is>
          <x:t xml:space="preserve">Tire rotation and inspect for damage</x:t>
        </x:is>
      </x:c>
      <x:c r="F40" s="8">
        <x:f>VLOOKUP(D40,'Cost Assumptions'!$A$5:$E$20,3,FALSE)</x:f>
        <x:v>30</x:v>
      </x:c>
      <x:c r="G40" s="12" t="str">
        <x:f>VLOOKUP(D40,'Cost Assumptions'!$A$5:$E$20,4,FALSE)</x:f>
        <x:v>https://www.monkentoyotamtvernon.com/service-pricing.html
https://www.toyotaofirving.com/service-menu-pricing/
https://www.toyotadm.com/cc-service-options-at-toyota-of-des-moines/</x:v>
      </x:c>
      <x:c r="H40" s="12" t="str">
        <x:f>VLOOKUP(D40,'Cost Assumptions'!$A$5:$E$20,5,FALSE)</x:f>
        <x:v>Rounded dealer rotation special / menu average.</x:v>
      </x:c>
    </x:row>
    <x:row r="41" ht="36" customHeight="1">
      <x:c r="A41" s="12" t="n">
        <x:v>35</x:v>
      </x:c>
      <x:c r="B41" s="6" t="inlineStr">
        <x:is>
          <x:t xml:space="preserve">Yellow</x:t>
        </x:is>
      </x:c>
      <x:c r="C41" s="12" t="inlineStr">
        <x:is>
          <x:t xml:space="preserve">As-needed</x:t>
        </x:is>
      </x:c>
      <x:c r="D41" s="12" t="n">
        <x:v>4</x:v>
      </x:c>
      <x:c r="E41" s="12" t="inlineStr">
        <x:is>
          <x:t xml:space="preserve">Engine intake air filter</x:t>
        </x:is>
      </x:c>
      <x:c r="F41" s="8">
        <x:f>VLOOKUP(D41,'Cost Assumptions'!$A$5:$E$20,3,FALSE)</x:f>
        <x:v>40</x:v>
      </x:c>
      <x:c r="G41" s="12" t="str">
        <x:f>VLOOKUP(D41,'Cost Assumptions'!$A$5:$E$20,4,FALSE)</x:f>
        <x:v>https://www.stcharlestoyota.net/service/service-specials/
https://www.toyotaofirving.com/service-menu-pricing/
https://www.monkentoyotamtvernon.com/service-pricing.html</x:v>
      </x:c>
      <x:c r="H41" s="12" t="str">
        <x:f>VLOOKUP(D41,'Cost Assumptions'!$A$5:$E$20,5,FALSE)</x:f>
        <x:v>Rounded from multiple dealer air-filter menu prices.</x:v>
      </x:c>
    </x:row>
    <x:row r="42" ht="36" customHeight="1">
      <x:c r="A42" s="12" t="n">
        <x:v>35</x:v>
      </x:c>
      <x:c r="B42" s="7" t="inlineStr">
        <x:is>
          <x:t xml:space="preserve">Red</x:t>
        </x:is>
      </x:c>
      <x:c r="C42" s="12" t="inlineStr">
        <x:is>
          <x:t xml:space="preserve">Required</x:t>
        </x:is>
      </x:c>
      <x:c r="D42" s="12" t="n">
        <x:v>1</x:v>
      </x:c>
      <x:c r="E42" s="12" t="inlineStr">
        <x:is>
          <x:t xml:space="preserve">Engine oil and filter</x:t>
        </x:is>
      </x:c>
      <x:c r="F42" s="8">
        <x:f>VLOOKUP(D42,'Cost Assumptions'!$A$5:$E$20,3,FALSE)</x:f>
        <x:v>90</x:v>
      </x:c>
      <x:c r="G42" s="12" t="str">
        <x:f>VLOOKUP(D42,'Cost Assumptions'!$A$5:$E$20,4,FALSE)</x:f>
        <x:v>https://www.monkentoyotamtvernon.com/service-pricing.html
https://www.stcharlestoyota.net/service/service-specials/
https://www.toyotadm.com/cc-service-options-at-toyota-of-des-moines/</x:v>
      </x:c>
      <x:c r="H42" s="12" t="str">
        <x:f>VLOOKUP(D42,'Cost Assumptions'!$A$5:$E$20,5,FALSE)</x:f>
        <x:v>Rounded dealer menu average for synthetic oil + filter.</x:v>
      </x:c>
    </x:row>
    <x:row r="43" ht="36" customHeight="1">
      <x:c r="A43" s="12" t="n">
        <x:v>35</x:v>
      </x:c>
      <x:c r="B43" s="7" t="inlineStr">
        <x:is>
          <x:t xml:space="preserve">Red</x:t>
        </x:is>
      </x:c>
      <x:c r="C43" s="12" t="inlineStr">
        <x:is>
          <x:t xml:space="preserve">Required</x:t>
        </x:is>
      </x:c>
      <x:c r="D43" s="12" t="n">
        <x:v>5</x:v>
      </x:c>
      <x:c r="E43" s="12" t="inlineStr">
        <x:is>
          <x:t xml:space="preserve">Grease driveshaft (lithium chassis grease)</x:t>
        </x:is>
      </x:c>
      <x:c r="F43" s="8">
        <x:f>VLOOKUP(D43,'Cost Assumptions'!$A$5:$E$20,3,FALSE)</x:f>
        <x:v>95</x:v>
      </x:c>
      <x:c r="G43" s="12" t="str">
        <x:f>VLOOKUP(D43,'Cost Assumptions'!$A$5:$E$20,4,FALSE)</x:f>
        <x:v>https://www.yourmechanic.com/estimates/toyota/tacoma/lubricate-driveshaft
No strong current Toyota dealer menu pricing found; editable estimate.</x:v>
      </x:c>
      <x:c r="H43" s="12" t="str">
        <x:f>VLOOKUP(D43,'Cost Assumptions'!$A$5:$E$20,5,FALSE)</x:f>
        <x:v>Estimated placeholder; verify locally. Many dealers bundle this into a mileage service.</x:v>
      </x:c>
    </x:row>
    <x:row r="44" ht="36" customHeight="1">
      <x:c r="A44" s="12" t="n">
        <x:v>40</x:v>
      </x:c>
      <x:c r="B44" s="5" t="inlineStr">
        <x:is>
          <x:t xml:space="preserve">White</x:t>
        </x:is>
      </x:c>
      <x:c r="C44" s="12" t="inlineStr">
        <x:is>
          <x:t xml:space="preserve">Required</x:t>
        </x:is>
      </x:c>
      <x:c r="D44" s="12" t="n">
        <x:v>1</x:v>
      </x:c>
      <x:c r="E44" s="12" t="inlineStr">
        <x:is>
          <x:t xml:space="preserve">Engine oil and filter</x:t>
        </x:is>
      </x:c>
      <x:c r="F44" s="8">
        <x:f>VLOOKUP(D44,'Cost Assumptions'!$A$5:$E$20,3,FALSE)</x:f>
        <x:v>90</x:v>
      </x:c>
      <x:c r="G44" s="12" t="str">
        <x:f>VLOOKUP(D44,'Cost Assumptions'!$A$5:$E$20,4,FALSE)</x:f>
        <x:v>https://www.monkentoyotamtvernon.com/service-pricing.html
https://www.stcharlestoyota.net/service/service-specials/
https://www.toyotadm.com/cc-service-options-at-toyota-of-des-moines/</x:v>
      </x:c>
      <x:c r="H44" s="12" t="str">
        <x:f>VLOOKUP(D44,'Cost Assumptions'!$A$5:$E$20,5,FALSE)</x:f>
        <x:v>Rounded dealer menu average for synthetic oil + filter.</x:v>
      </x:c>
    </x:row>
    <x:row r="45" ht="36" customHeight="1">
      <x:c r="A45" s="12" t="n">
        <x:v>40</x:v>
      </x:c>
      <x:c r="B45" s="5" t="inlineStr">
        <x:is>
          <x:t xml:space="preserve">White</x:t>
        </x:is>
      </x:c>
      <x:c r="C45" s="12" t="inlineStr">
        <x:is>
          <x:t xml:space="preserve">Required</x:t>
        </x:is>
      </x:c>
      <x:c r="D45" s="12" t="n">
        <x:v>2</x:v>
      </x:c>
      <x:c r="E45" s="12" t="inlineStr">
        <x:is>
          <x:t xml:space="preserve">Tire rotation and inspect for damage</x:t>
        </x:is>
      </x:c>
      <x:c r="F45" s="8">
        <x:f>VLOOKUP(D45,'Cost Assumptions'!$A$5:$E$20,3,FALSE)</x:f>
        <x:v>30</x:v>
      </x:c>
      <x:c r="G45" s="12" t="str">
        <x:f>VLOOKUP(D45,'Cost Assumptions'!$A$5:$E$20,4,FALSE)</x:f>
        <x:v>https://www.monkentoyotamtvernon.com/service-pricing.html
https://www.toyotaofirving.com/service-menu-pricing/
https://www.toyotadm.com/cc-service-options-at-toyota-of-des-moines/</x:v>
      </x:c>
      <x:c r="H45" s="12" t="str">
        <x:f>VLOOKUP(D45,'Cost Assumptions'!$A$5:$E$20,5,FALSE)</x:f>
        <x:v>Rounded dealer rotation special / menu average.</x:v>
      </x:c>
    </x:row>
    <x:row r="46" ht="36" customHeight="1">
      <x:c r="A46" s="12" t="n">
        <x:v>40</x:v>
      </x:c>
      <x:c r="B46" s="5" t="inlineStr">
        <x:is>
          <x:t xml:space="preserve">White</x:t>
        </x:is>
      </x:c>
      <x:c r="C46" s="12" t="inlineStr">
        <x:is>
          <x:t xml:space="preserve">Required</x:t>
        </x:is>
      </x:c>
      <x:c r="D46" s="12" t="n">
        <x:v>3</x:v>
      </x:c>
      <x:c r="E46" s="12" t="inlineStr">
        <x:is>
          <x:t xml:space="preserve">Cabin air filter</x:t>
        </x:is>
      </x:c>
      <x:c r="F46" s="8">
        <x:f>VLOOKUP(D46,'Cost Assumptions'!$A$5:$E$20,3,FALSE)</x:f>
        <x:v>70</x:v>
      </x:c>
      <x:c r="G46" s="12" t="str">
        <x:f>VLOOKUP(D46,'Cost Assumptions'!$A$5:$E$20,4,FALSE)</x:f>
        <x:v>https://www.earlstewarttoyota.com/service/services-pricing/
https://www.toyotaofirving.com/service-menu-pricing/
https://www.toyotacarson.com/service/service-specials/</x:v>
      </x:c>
      <x:c r="H46" s="12" t="str">
        <x:f>VLOOKUP(D46,'Cost Assumptions'!$A$5:$E$20,5,FALSE)</x:f>
        <x:v>Rounded from multiple dealer filter replacement offers.</x:v>
      </x:c>
    </x:row>
    <x:row r="47" ht="36" customHeight="1">
      <x:c r="A47" s="12" t="n">
        <x:v>40</x:v>
      </x:c>
      <x:c r="B47" s="6" t="inlineStr">
        <x:is>
          <x:t xml:space="preserve">Yellow</x:t>
        </x:is>
      </x:c>
      <x:c r="C47" s="12" t="inlineStr">
        <x:is>
          <x:t xml:space="preserve">As-needed</x:t>
        </x:is>
      </x:c>
      <x:c r="D47" s="12" t="n">
        <x:v>4</x:v>
      </x:c>
      <x:c r="E47" s="12" t="inlineStr">
        <x:is>
          <x:t xml:space="preserve">Engine intake air filter</x:t>
        </x:is>
      </x:c>
      <x:c r="F47" s="8">
        <x:f>VLOOKUP(D47,'Cost Assumptions'!$A$5:$E$20,3,FALSE)</x:f>
        <x:v>40</x:v>
      </x:c>
      <x:c r="G47" s="12" t="str">
        <x:f>VLOOKUP(D47,'Cost Assumptions'!$A$5:$E$20,4,FALSE)</x:f>
        <x:v>https://www.stcharlestoyota.net/service/service-specials/
https://www.toyotaofirving.com/service-menu-pricing/
https://www.monkentoyotamtvernon.com/service-pricing.html</x:v>
      </x:c>
      <x:c r="H47" s="12" t="str">
        <x:f>VLOOKUP(D47,'Cost Assumptions'!$A$5:$E$20,5,FALSE)</x:f>
        <x:v>Rounded from multiple dealer air-filter menu prices.</x:v>
      </x:c>
    </x:row>
    <x:row r="48" ht="36" customHeight="1">
      <x:c r="A48" s="12" t="n">
        <x:v>40</x:v>
      </x:c>
      <x:c r="B48" s="6" t="inlineStr">
        <x:is>
          <x:t xml:space="preserve">Yellow</x:t>
        </x:is>
      </x:c>
      <x:c r="C48" s="12" t="inlineStr">
        <x:is>
          <x:t xml:space="preserve">As-needed</x:t>
        </x:is>
      </x:c>
      <x:c r="D48" s="12" t="n">
        <x:v>13</x:v>
      </x:c>
      <x:c r="E48" s="12" t="inlineStr">
        <x:is>
          <x:t xml:space="preserve">Rear brake shoes</x:t>
        </x:is>
      </x:c>
      <x:c r="F48" s="8">
        <x:f>VLOOKUP(D48,'Cost Assumptions'!$A$5:$E$20,3,FALSE)</x:f>
        <x:v>360</x:v>
      </x:c>
      <x:c r="G48" s="12" t="str">
        <x:f>VLOOKUP(D48,'Cost Assumptions'!$A$5:$E$20,4,FALSE)</x:f>
        <x:v>https://repairpal.com/estimator/brake-shoes-replacement-cost
https://repairpal.com/estimator/toyota/pickup/brake-shoes-replacement-cost
Dealer menus were sparse; editable estimate.</x:v>
      </x:c>
      <x:c r="H48" s="12" t="str">
        <x:f>VLOOKUP(D48,'Cost Assumptions'!$A$5:$E$20,5,FALSE)</x:f>
        <x:v>Sparse dealer menu data; editable estimate based on published replacement ranges.</x:v>
      </x:c>
    </x:row>
    <x:row r="49" ht="36" customHeight="1">
      <x:c r="A49" s="12" t="n">
        <x:v>40</x:v>
      </x:c>
      <x:c r="B49" s="6" t="inlineStr">
        <x:is>
          <x:t xml:space="preserve">Yellow</x:t>
        </x:is>
      </x:c>
      <x:c r="C49" s="12" t="inlineStr">
        <x:is>
          <x:t xml:space="preserve">As-needed</x:t>
        </x:is>
      </x:c>
      <x:c r="D49" s="12" t="n">
        <x:v>14</x:v>
      </x:c>
      <x:c r="E49" s="12" t="inlineStr">
        <x:is>
          <x:t xml:space="preserve">Front brake pads</x:t>
        </x:is>
      </x:c>
      <x:c r="F49" s="8">
        <x:f>VLOOKUP(D49,'Cost Assumptions'!$A$5:$E$20,3,FALSE)</x:f>
        <x:v>300</x:v>
      </x:c>
      <x:c r="G49" s="12" t="str">
        <x:f>VLOOKUP(D49,'Cost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49" s="12" t="str">
        <x:f>VLOOKUP(D49,'Cost Assumptions'!$A$5:$E$20,5,FALSE)</x:f>
        <x:v>Rounded from dealer front/rear pad replacement menus and Toyota brake ranges.</x:v>
      </x:c>
    </x:row>
    <x:row r="50" ht="36" customHeight="1">
      <x:c r="A50" s="12" t="n">
        <x:v>40</x:v>
      </x:c>
      <x:c r="B50" s="7" t="inlineStr">
        <x:is>
          <x:t xml:space="preserve">Red</x:t>
        </x:is>
      </x:c>
      <x:c r="C50" s="12" t="inlineStr">
        <x:is>
          <x:t xml:space="preserve">Required</x:t>
        </x:is>
      </x:c>
      <x:c r="D50" s="12" t="n">
        <x:v>5</x:v>
      </x:c>
      <x:c r="E50" s="12" t="inlineStr">
        <x:is>
          <x:t xml:space="preserve">Grease driveshaft (lithium chassis grease)</x:t>
        </x:is>
      </x:c>
      <x:c r="F50" s="8">
        <x:f>VLOOKUP(D50,'Cost Assumptions'!$A$5:$E$20,3,FALSE)</x:f>
        <x:v>95</x:v>
      </x:c>
      <x:c r="G50" s="12" t="str">
        <x:f>VLOOKUP(D50,'Cost Assumptions'!$A$5:$E$20,4,FALSE)</x:f>
        <x:v>https://www.yourmechanic.com/estimates/toyota/tacoma/lubricate-driveshaft
No strong current Toyota dealer menu pricing found; editable estimate.</x:v>
      </x:c>
      <x:c r="H50" s="12" t="str">
        <x:f>VLOOKUP(D50,'Cost Assumptions'!$A$5:$E$20,5,FALSE)</x:f>
        <x:v>Estimated placeholder; verify locally. Many dealers bundle this into a mileage service.</x:v>
      </x:c>
    </x:row>
    <x:row r="51" ht="36" customHeight="1">
      <x:c r="A51" s="12" t="n">
        <x:v>45</x:v>
      </x:c>
      <x:c r="B51" s="5" t="inlineStr">
        <x:is>
          <x:t xml:space="preserve">White</x:t>
        </x:is>
      </x:c>
      <x:c r="C51" s="12" t="inlineStr">
        <x:is>
          <x:t xml:space="preserve">Required</x:t>
        </x:is>
      </x:c>
      <x:c r="D51" s="12" t="n">
        <x:v>2</x:v>
      </x:c>
      <x:c r="E51" s="12" t="inlineStr">
        <x:is>
          <x:t xml:space="preserve">Tire rotation and inspect for damage</x:t>
        </x:is>
      </x:c>
      <x:c r="F51" s="8">
        <x:f>VLOOKUP(D51,'Cost Assumptions'!$A$5:$E$20,3,FALSE)</x:f>
        <x:v>30</x:v>
      </x:c>
      <x:c r="G51" s="12" t="str">
        <x:f>VLOOKUP(D51,'Cost Assumptions'!$A$5:$E$20,4,FALSE)</x:f>
        <x:v>https://www.monkentoyotamtvernon.com/service-pricing.html
https://www.toyotaofirving.com/service-menu-pricing/
https://www.toyotadm.com/cc-service-options-at-toyota-of-des-moines/</x:v>
      </x:c>
      <x:c r="H51" s="12" t="str">
        <x:f>VLOOKUP(D51,'Cost Assumptions'!$A$5:$E$20,5,FALSE)</x:f>
        <x:v>Rounded dealer rotation special / menu average.</x:v>
      </x:c>
    </x:row>
    <x:row r="52" ht="36" customHeight="1">
      <x:c r="A52" s="12" t="n">
        <x:v>45</x:v>
      </x:c>
      <x:c r="B52" s="5" t="inlineStr">
        <x:is>
          <x:t xml:space="preserve">White</x:t>
        </x:is>
      </x:c>
      <x:c r="C52" s="12" t="inlineStr">
        <x:is>
          <x:t xml:space="preserve">Required</x:t>
        </x:is>
      </x:c>
      <x:c r="D52" s="12" t="n">
        <x:v>5</x:v>
      </x:c>
      <x:c r="E52" s="12" t="inlineStr">
        <x:is>
          <x:t xml:space="preserve">Grease driveshaft (lithium chassis grease)</x:t>
        </x:is>
      </x:c>
      <x:c r="F52" s="8">
        <x:f>VLOOKUP(D52,'Cost Assumptions'!$A$5:$E$20,3,FALSE)</x:f>
        <x:v>95</x:v>
      </x:c>
      <x:c r="G52" s="12" t="str">
        <x:f>VLOOKUP(D52,'Cost Assumptions'!$A$5:$E$20,4,FALSE)</x:f>
        <x:v>https://www.yourmechanic.com/estimates/toyota/tacoma/lubricate-driveshaft
No strong current Toyota dealer menu pricing found; editable estimate.</x:v>
      </x:c>
      <x:c r="H52" s="12" t="str">
        <x:f>VLOOKUP(D52,'Cost Assumptions'!$A$5:$E$20,5,FALSE)</x:f>
        <x:v>Estimated placeholder; verify locally. Many dealers bundle this into a mileage service.</x:v>
      </x:c>
    </x:row>
    <x:row r="53" ht="36" customHeight="1">
      <x:c r="A53" s="12" t="n">
        <x:v>45</x:v>
      </x:c>
      <x:c r="B53" s="6" t="inlineStr">
        <x:is>
          <x:t xml:space="preserve">Yellow</x:t>
        </x:is>
      </x:c>
      <x:c r="C53" s="12" t="inlineStr">
        <x:is>
          <x:t xml:space="preserve">As-needed</x:t>
        </x:is>
      </x:c>
      <x:c r="D53" s="12" t="n">
        <x:v>4</x:v>
      </x:c>
      <x:c r="E53" s="12" t="inlineStr">
        <x:is>
          <x:t xml:space="preserve">Engine intake air filter</x:t>
        </x:is>
      </x:c>
      <x:c r="F53" s="8">
        <x:f>VLOOKUP(D53,'Cost Assumptions'!$A$5:$E$20,3,FALSE)</x:f>
        <x:v>40</x:v>
      </x:c>
      <x:c r="G53" s="12" t="str">
        <x:f>VLOOKUP(D53,'Cost Assumptions'!$A$5:$E$20,4,FALSE)</x:f>
        <x:v>https://www.stcharlestoyota.net/service/service-specials/
https://www.toyotaofirving.com/service-menu-pricing/
https://www.monkentoyotamtvernon.com/service-pricing.html</x:v>
      </x:c>
      <x:c r="H53" s="12" t="str">
        <x:f>VLOOKUP(D53,'Cost Assumptions'!$A$5:$E$20,5,FALSE)</x:f>
        <x:v>Rounded from multiple dealer air-filter menu prices.</x:v>
      </x:c>
    </x:row>
    <x:row r="54" ht="36" customHeight="1">
      <x:c r="A54" s="12" t="n">
        <x:v>45</x:v>
      </x:c>
      <x:c r="B54" s="7" t="inlineStr">
        <x:is>
          <x:t xml:space="preserve">Red</x:t>
        </x:is>
      </x:c>
      <x:c r="C54" s="12" t="inlineStr">
        <x:is>
          <x:t xml:space="preserve">Required</x:t>
        </x:is>
      </x:c>
      <x:c r="D54" s="12" t="n">
        <x:v>1</x:v>
      </x:c>
      <x:c r="E54" s="12" t="inlineStr">
        <x:is>
          <x:t xml:space="preserve">Engine oil and filter</x:t>
        </x:is>
      </x:c>
      <x:c r="F54" s="8">
        <x:f>VLOOKUP(D54,'Cost Assumptions'!$A$5:$E$20,3,FALSE)</x:f>
        <x:v>90</x:v>
      </x:c>
      <x:c r="G54" s="12" t="str">
        <x:f>VLOOKUP(D54,'Cost Assumptions'!$A$5:$E$20,4,FALSE)</x:f>
        <x:v>https://www.monkentoyotamtvernon.com/service-pricing.html
https://www.stcharlestoyota.net/service/service-specials/
https://www.toyotadm.com/cc-service-options-at-toyota-of-des-moines/</x:v>
      </x:c>
      <x:c r="H54" s="12" t="str">
        <x:f>VLOOKUP(D54,'Cost Assumptions'!$A$5:$E$20,5,FALSE)</x:f>
        <x:v>Rounded dealer menu average for synthetic oil + filter.</x:v>
      </x:c>
    </x:row>
    <x:row r="55" ht="36" customHeight="1">
      <x:c r="A55" s="12" t="n">
        <x:v>45</x:v>
      </x:c>
      <x:c r="B55" s="7" t="inlineStr">
        <x:is>
          <x:t xml:space="preserve">Red</x:t>
        </x:is>
      </x:c>
      <x:c r="C55" s="12" t="inlineStr">
        <x:is>
          <x:t xml:space="preserve">Required</x:t>
        </x:is>
      </x:c>
      <x:c r="D55" s="12" t="n">
        <x:v>7</x:v>
      </x:c>
      <x:c r="E55" s="12" t="inlineStr">
        <x:is>
          <x:t xml:space="preserve">Rear differential fluid (gear oil 75W-85 GL-5)</x:t>
        </x:is>
      </x:c>
      <x:c r="F55" s="8">
        <x:f>VLOOKUP(D55,'Cost Assumptions'!$A$5:$E$20,3,FALSE)</x:f>
        <x:v>160</x:v>
      </x:c>
      <x:c r="G55" s="12" t="str">
        <x:f>VLOOKUP(D55,'Cost Assumptions'!$A$5:$E$20,4,FALSE)</x:f>
        <x:v>https://www.monkentoyotamtvernon.com/service-pricing.html
https://www.manhattanbeachtoyota.com/recommended-service-pricing/</x:v>
      </x:c>
      <x:c r="H55" s="12" t="str">
        <x:f>VLOOKUP(D55,'Cost Assumptions'!$A$5:$E$20,5,FALSE)</x:f>
        <x:v>Rounded from dealer diff services listed about $160-$162.</x:v>
      </x:c>
    </x:row>
    <x:row r="56" ht="36" customHeight="1">
      <x:c r="A56" s="12" t="n">
        <x:v>45</x:v>
      </x:c>
      <x:c r="B56" s="7" t="inlineStr">
        <x:is>
          <x:t xml:space="preserve">Red</x:t>
        </x:is>
      </x:c>
      <x:c r="C56" s="12" t="inlineStr">
        <x:is>
          <x:t xml:space="preserve">Required</x:t>
        </x:is>
      </x:c>
      <x:c r="D56" s="12" t="n">
        <x:v>8</x:v>
      </x:c>
      <x:c r="E56" s="12" t="inlineStr">
        <x:is>
          <x:t xml:space="preserve">Front differential fluid (gear oil 75W-85 GL-5)</x:t>
        </x:is>
      </x:c>
      <x:c r="F56" s="8">
        <x:f>VLOOKUP(D56,'Cost Assumptions'!$A$5:$E$20,3,FALSE)</x:f>
        <x:v>160</x:v>
      </x:c>
      <x:c r="G56" s="12" t="str">
        <x:f>VLOOKUP(D56,'Cost Assumptions'!$A$5:$E$20,4,FALSE)</x:f>
        <x:v>https://www.monkentoyotamtvernon.com/service-pricing.html
https://www.manhattanbeachtoyota.com/recommended-service-pricing/</x:v>
      </x:c>
      <x:c r="H56" s="12" t="str">
        <x:f>VLOOKUP(D56,'Cost Assumptions'!$A$5:$E$20,5,FALSE)</x:f>
        <x:v>Rounded from dealer diff services listed about $160-$162.</x:v>
      </x:c>
    </x:row>
    <x:row r="57" ht="36" customHeight="1">
      <x:c r="A57" s="12" t="n">
        <x:v>50</x:v>
      </x:c>
      <x:c r="B57" s="5" t="inlineStr">
        <x:is>
          <x:t xml:space="preserve">White</x:t>
        </x:is>
      </x:c>
      <x:c r="C57" s="12" t="inlineStr">
        <x:is>
          <x:t xml:space="preserve">Required</x:t>
        </x:is>
      </x:c>
      <x:c r="D57" s="12" t="n">
        <x:v>1</x:v>
      </x:c>
      <x:c r="E57" s="12" t="inlineStr">
        <x:is>
          <x:t xml:space="preserve">Engine oil and filter</x:t>
        </x:is>
      </x:c>
      <x:c r="F57" s="8">
        <x:f>VLOOKUP(D57,'Cost Assumptions'!$A$5:$E$20,3,FALSE)</x:f>
        <x:v>90</x:v>
      </x:c>
      <x:c r="G57" s="12" t="str">
        <x:f>VLOOKUP(D57,'Cost Assumptions'!$A$5:$E$20,4,FALSE)</x:f>
        <x:v>https://www.monkentoyotamtvernon.com/service-pricing.html
https://www.stcharlestoyota.net/service/service-specials/
https://www.toyotadm.com/cc-service-options-at-toyota-of-des-moines/</x:v>
      </x:c>
      <x:c r="H57" s="12" t="str">
        <x:f>VLOOKUP(D57,'Cost Assumptions'!$A$5:$E$20,5,FALSE)</x:f>
        <x:v>Rounded dealer menu average for synthetic oil + filter.</x:v>
      </x:c>
    </x:row>
    <x:row r="58" ht="36" customHeight="1">
      <x:c r="A58" s="12" t="n">
        <x:v>50</x:v>
      </x:c>
      <x:c r="B58" s="5" t="inlineStr">
        <x:is>
          <x:t xml:space="preserve">White</x:t>
        </x:is>
      </x:c>
      <x:c r="C58" s="12" t="inlineStr">
        <x:is>
          <x:t xml:space="preserve">Required</x:t>
        </x:is>
      </x:c>
      <x:c r="D58" s="12" t="n">
        <x:v>2</x:v>
      </x:c>
      <x:c r="E58" s="12" t="inlineStr">
        <x:is>
          <x:t xml:space="preserve">Tire rotation and inspect for damage</x:t>
        </x:is>
      </x:c>
      <x:c r="F58" s="8">
        <x:f>VLOOKUP(D58,'Cost Assumptions'!$A$5:$E$20,3,FALSE)</x:f>
        <x:v>30</x:v>
      </x:c>
      <x:c r="G58" s="12" t="str">
        <x:f>VLOOKUP(D58,'Cost Assumptions'!$A$5:$E$20,4,FALSE)</x:f>
        <x:v>https://www.monkentoyotamtvernon.com/service-pricing.html
https://www.toyotaofirving.com/service-menu-pricing/
https://www.toyotadm.com/cc-service-options-at-toyota-of-des-moines/</x:v>
      </x:c>
      <x:c r="H58" s="12" t="str">
        <x:f>VLOOKUP(D58,'Cost Assumptions'!$A$5:$E$20,5,FALSE)</x:f>
        <x:v>Rounded dealer rotation special / menu average.</x:v>
      </x:c>
    </x:row>
    <x:row r="59" ht="36" customHeight="1">
      <x:c r="A59" s="12" t="n">
        <x:v>50</x:v>
      </x:c>
      <x:c r="B59" s="5" t="inlineStr">
        <x:is>
          <x:t xml:space="preserve">White</x:t>
        </x:is>
      </x:c>
      <x:c r="C59" s="12" t="inlineStr">
        <x:is>
          <x:t xml:space="preserve">Required</x:t>
        </x:is>
      </x:c>
      <x:c r="D59" s="12" t="n">
        <x:v>10</x:v>
      </x:c>
      <x:c r="E59" s="12" t="inlineStr">
        <x:is>
          <x:t xml:space="preserve">Power steering fluid (Dexron II or III)</x:t>
        </x:is>
      </x:c>
      <x:c r="F59" s="8">
        <x:f>VLOOKUP(D59,'Cost Assumptions'!$A$5:$E$20,3,FALSE)</x:f>
        <x:v>185</x:v>
      </x:c>
      <x:c r="G59" s="12" t="str">
        <x:f>VLOOKUP(D59,'Cost Assumptions'!$A$5:$E$20,4,FALSE)</x:f>
        <x:v>https://www.toyotaofirving.com/service-menu-pricing/
https://www.manhattanbeachtoyota.com/recommended-service-pricing/
https://www.toyotaofgreenville.com/service/power-steering-fluid.htm</x:v>
      </x:c>
      <x:c r="H59" s="12" t="str">
        <x:f>VLOOKUP(D59,'Cost Assumptions'!$A$5:$E$20,5,FALSE)</x:f>
        <x:v>Rounded from dealer power-steering fluid exchange menus.</x:v>
      </x:c>
    </x:row>
    <x:row r="60" ht="36" customHeight="1">
      <x:c r="A60" s="12" t="n">
        <x:v>50</x:v>
      </x:c>
      <x:c r="B60" s="6" t="inlineStr">
        <x:is>
          <x:t xml:space="preserve">Yellow</x:t>
        </x:is>
      </x:c>
      <x:c r="C60" s="12" t="inlineStr">
        <x:is>
          <x:t xml:space="preserve">As-needed</x:t>
        </x:is>
      </x:c>
      <x:c r="D60" s="12" t="n">
        <x:v>4</x:v>
      </x:c>
      <x:c r="E60" s="12" t="inlineStr">
        <x:is>
          <x:t xml:space="preserve">Engine intake air filter</x:t>
        </x:is>
      </x:c>
      <x:c r="F60" s="8">
        <x:f>VLOOKUP(D60,'Cost Assumptions'!$A$5:$E$20,3,FALSE)</x:f>
        <x:v>40</x:v>
      </x:c>
      <x:c r="G60" s="12" t="str">
        <x:f>VLOOKUP(D60,'Cost Assumptions'!$A$5:$E$20,4,FALSE)</x:f>
        <x:v>https://www.stcharlestoyota.net/service/service-specials/
https://www.toyotaofirving.com/service-menu-pricing/
https://www.monkentoyotamtvernon.com/service-pricing.html</x:v>
      </x:c>
      <x:c r="H60" s="12" t="str">
        <x:f>VLOOKUP(D60,'Cost Assumptions'!$A$5:$E$20,5,FALSE)</x:f>
        <x:v>Rounded from multiple dealer air-filter menu prices.</x:v>
      </x:c>
    </x:row>
    <x:row r="61" ht="36" customHeight="1">
      <x:c r="A61" s="12" t="n">
        <x:v>50</x:v>
      </x:c>
      <x:c r="B61" s="6" t="inlineStr">
        <x:is>
          <x:t xml:space="preserve">Yellow</x:t>
        </x:is>
      </x:c>
      <x:c r="C61" s="12" t="inlineStr">
        <x:is>
          <x:t xml:space="preserve">As-needed</x:t>
        </x:is>
      </x:c>
      <x:c r="D61" s="12" t="n">
        <x:v>14</x:v>
      </x:c>
      <x:c r="E61" s="12" t="inlineStr">
        <x:is>
          <x:t xml:space="preserve">Front brake pads</x:t>
        </x:is>
      </x:c>
      <x:c r="F61" s="8">
        <x:f>VLOOKUP(D61,'Cost Assumptions'!$A$5:$E$20,3,FALSE)</x:f>
        <x:v>300</x:v>
      </x:c>
      <x:c r="G61" s="12" t="str">
        <x:f>VLOOKUP(D61,'Cost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61" s="12" t="str">
        <x:f>VLOOKUP(D61,'Cost Assumptions'!$A$5:$E$20,5,FALSE)</x:f>
        <x:v>Rounded from dealer front/rear pad replacement menus and Toyota brake ranges.</x:v>
      </x:c>
    </x:row>
    <x:row r="62" ht="36" customHeight="1">
      <x:c r="A62" s="12" t="n">
        <x:v>50</x:v>
      </x:c>
      <x:c r="B62" s="6" t="inlineStr">
        <x:is>
          <x:t xml:space="preserve">Yellow</x:t>
        </x:is>
      </x:c>
      <x:c r="C62" s="12" t="inlineStr">
        <x:is>
          <x:t xml:space="preserve">As-needed</x:t>
        </x:is>
      </x:c>
      <x:c r="D62" s="12" t="n">
        <x:v>16</x:v>
      </x:c>
      <x:c r="E62" s="12" t="inlineStr">
        <x:is>
          <x:t xml:space="preserve">Brake fluid</x:t>
        </x:is>
      </x:c>
      <x:c r="F62" s="8">
        <x:f>VLOOKUP(D62,'Cost Assumptions'!$A$5:$E$20,3,FALSE)</x:f>
        <x:v>185</x:v>
      </x:c>
      <x:c r="G62" s="12" t="str">
        <x:f>VLOOKUP(D62,'Cost Assumptions'!$A$5:$E$20,4,FALSE)</x:f>
        <x:v>https://www.monkentoyotamtvernon.com/service-pricing.html
https://www.toyotaofirving.com/service-menu-pricing/
https://www.maticktoyota.com/service-menu.html</x:v>
      </x:c>
      <x:c r="H62" s="12" t="str">
        <x:f>VLOOKUP(D62,'Cost Assumptions'!$A$5:$E$20,5,FALSE)</x:f>
        <x:v>Rounded from dealer brake-fluid exchange menus.</x:v>
      </x:c>
    </x:row>
    <x:row r="63" ht="36" customHeight="1">
      <x:c r="A63" s="12" t="n">
        <x:v>50</x:v>
      </x:c>
      <x:c r="B63" s="7" t="inlineStr">
        <x:is>
          <x:t xml:space="preserve">Red</x:t>
        </x:is>
      </x:c>
      <x:c r="C63" s="12" t="inlineStr">
        <x:is>
          <x:t xml:space="preserve">Required</x:t>
        </x:is>
      </x:c>
      <x:c r="D63" s="12" t="n">
        <x:v>5</x:v>
      </x:c>
      <x:c r="E63" s="12" t="inlineStr">
        <x:is>
          <x:t xml:space="preserve">Grease driveshaft (lithium chassis grease)</x:t>
        </x:is>
      </x:c>
      <x:c r="F63" s="8">
        <x:f>VLOOKUP(D63,'Cost Assumptions'!$A$5:$E$20,3,FALSE)</x:f>
        <x:v>95</x:v>
      </x:c>
      <x:c r="G63" s="12" t="str">
        <x:f>VLOOKUP(D63,'Cost Assumptions'!$A$5:$E$20,4,FALSE)</x:f>
        <x:v>https://www.yourmechanic.com/estimates/toyota/tacoma/lubricate-driveshaft
No strong current Toyota dealer menu pricing found; editable estimate.</x:v>
      </x:c>
      <x:c r="H63" s="12" t="str">
        <x:f>VLOOKUP(D63,'Cost Assumptions'!$A$5:$E$20,5,FALSE)</x:f>
        <x:v>Estimated placeholder; verify locally. Many dealers bundle this into a mileage service.</x:v>
      </x:c>
    </x:row>
    <x:row r="64" ht="36" customHeight="1">
      <x:c r="A64" s="12" t="n">
        <x:v>55</x:v>
      </x:c>
      <x:c r="B64" s="5" t="inlineStr">
        <x:is>
          <x:t xml:space="preserve">White</x:t>
        </x:is>
      </x:c>
      <x:c r="C64" s="12" t="inlineStr">
        <x:is>
          <x:t xml:space="preserve">Required</x:t>
        </x:is>
      </x:c>
      <x:c r="D64" s="12" t="n">
        <x:v>2</x:v>
      </x:c>
      <x:c r="E64" s="12" t="inlineStr">
        <x:is>
          <x:t xml:space="preserve">Tire rotation and inspect for damage</x:t>
        </x:is>
      </x:c>
      <x:c r="F64" s="8">
        <x:f>VLOOKUP(D64,'Cost Assumptions'!$A$5:$E$20,3,FALSE)</x:f>
        <x:v>30</x:v>
      </x:c>
      <x:c r="G64" s="12" t="str">
        <x:f>VLOOKUP(D64,'Cost Assumptions'!$A$5:$E$20,4,FALSE)</x:f>
        <x:v>https://www.monkentoyotamtvernon.com/service-pricing.html
https://www.toyotaofirving.com/service-menu-pricing/
https://www.toyotadm.com/cc-service-options-at-toyota-of-des-moines/</x:v>
      </x:c>
      <x:c r="H64" s="12" t="str">
        <x:f>VLOOKUP(D64,'Cost Assumptions'!$A$5:$E$20,5,FALSE)</x:f>
        <x:v>Rounded dealer rotation special / menu average.</x:v>
      </x:c>
    </x:row>
    <x:row r="65" ht="36" customHeight="1">
      <x:c r="A65" s="12" t="n">
        <x:v>55</x:v>
      </x:c>
      <x:c r="B65" s="6" t="inlineStr">
        <x:is>
          <x:t xml:space="preserve">Yellow</x:t>
        </x:is>
      </x:c>
      <x:c r="C65" s="12" t="inlineStr">
        <x:is>
          <x:t xml:space="preserve">As-needed</x:t>
        </x:is>
      </x:c>
      <x:c r="D65" s="12" t="n">
        <x:v>4</x:v>
      </x:c>
      <x:c r="E65" s="12" t="inlineStr">
        <x:is>
          <x:t xml:space="preserve">Engine intake air filter</x:t>
        </x:is>
      </x:c>
      <x:c r="F65" s="8">
        <x:f>VLOOKUP(D65,'Cost Assumptions'!$A$5:$E$20,3,FALSE)</x:f>
        <x:v>40</x:v>
      </x:c>
      <x:c r="G65" s="12" t="str">
        <x:f>VLOOKUP(D65,'Cost Assumptions'!$A$5:$E$20,4,FALSE)</x:f>
        <x:v>https://www.stcharlestoyota.net/service/service-specials/
https://www.toyotaofirving.com/service-menu-pricing/
https://www.monkentoyotamtvernon.com/service-pricing.html</x:v>
      </x:c>
      <x:c r="H65" s="12" t="str">
        <x:f>VLOOKUP(D65,'Cost Assumptions'!$A$5:$E$20,5,FALSE)</x:f>
        <x:v>Rounded from multiple dealer air-filter menu prices.</x:v>
      </x:c>
    </x:row>
    <x:row r="66" ht="36" customHeight="1">
      <x:c r="A66" s="12" t="n">
        <x:v>55</x:v>
      </x:c>
      <x:c r="B66" s="7" t="inlineStr">
        <x:is>
          <x:t xml:space="preserve">Red</x:t>
        </x:is>
      </x:c>
      <x:c r="C66" s="12" t="inlineStr">
        <x:is>
          <x:t xml:space="preserve">Required</x:t>
        </x:is>
      </x:c>
      <x:c r="D66" s="12" t="n">
        <x:v>1</x:v>
      </x:c>
      <x:c r="E66" s="12" t="inlineStr">
        <x:is>
          <x:t xml:space="preserve">Engine oil and filter</x:t>
        </x:is>
      </x:c>
      <x:c r="F66" s="8">
        <x:f>VLOOKUP(D66,'Cost Assumptions'!$A$5:$E$20,3,FALSE)</x:f>
        <x:v>90</x:v>
      </x:c>
      <x:c r="G66" s="12" t="str">
        <x:f>VLOOKUP(D66,'Cost Assumptions'!$A$5:$E$20,4,FALSE)</x:f>
        <x:v>https://www.monkentoyotamtvernon.com/service-pricing.html
https://www.stcharlestoyota.net/service/service-specials/
https://www.toyotadm.com/cc-service-options-at-toyota-of-des-moines/</x:v>
      </x:c>
      <x:c r="H66" s="12" t="str">
        <x:f>VLOOKUP(D66,'Cost Assumptions'!$A$5:$E$20,5,FALSE)</x:f>
        <x:v>Rounded dealer menu average for synthetic oil + filter.</x:v>
      </x:c>
    </x:row>
    <x:row r="67" ht="36" customHeight="1">
      <x:c r="A67" s="12" t="n">
        <x:v>55</x:v>
      </x:c>
      <x:c r="B67" s="7" t="inlineStr">
        <x:is>
          <x:t xml:space="preserve">Red</x:t>
        </x:is>
      </x:c>
      <x:c r="C67" s="12" t="inlineStr">
        <x:is>
          <x:t xml:space="preserve">Required</x:t>
        </x:is>
      </x:c>
      <x:c r="D67" s="12" t="n">
        <x:v>5</x:v>
      </x:c>
      <x:c r="E67" s="12" t="inlineStr">
        <x:is>
          <x:t xml:space="preserve">Grease driveshaft (lithium chassis grease)</x:t>
        </x:is>
      </x:c>
      <x:c r="F67" s="8">
        <x:f>VLOOKUP(D67,'Cost Assumptions'!$A$5:$E$20,3,FALSE)</x:f>
        <x:v>95</x:v>
      </x:c>
      <x:c r="G67" s="12" t="str">
        <x:f>VLOOKUP(D67,'Cost Assumptions'!$A$5:$E$20,4,FALSE)</x:f>
        <x:v>https://www.yourmechanic.com/estimates/toyota/tacoma/lubricate-driveshaft
No strong current Toyota dealer menu pricing found; editable estimate.</x:v>
      </x:c>
      <x:c r="H67" s="12" t="str">
        <x:f>VLOOKUP(D67,'Cost Assumptions'!$A$5:$E$20,5,FALSE)</x:f>
        <x:v>Estimated placeholder; verify locally. Many dealers bundle this into a mileage service.</x:v>
      </x:c>
    </x:row>
    <x:row r="68" ht="36" customHeight="1">
      <x:c r="A68" s="12" t="n">
        <x:v>60</x:v>
      </x:c>
      <x:c r="B68" s="5" t="inlineStr">
        <x:is>
          <x:t xml:space="preserve">White</x:t>
        </x:is>
      </x:c>
      <x:c r="C68" s="12" t="inlineStr">
        <x:is>
          <x:t xml:space="preserve">Required</x:t>
        </x:is>
      </x:c>
      <x:c r="D68" s="12" t="n">
        <x:v>1</x:v>
      </x:c>
      <x:c r="E68" s="12" t="inlineStr">
        <x:is>
          <x:t xml:space="preserve">Engine oil and filter</x:t>
        </x:is>
      </x:c>
      <x:c r="F68" s="8">
        <x:f>VLOOKUP(D68,'Cost Assumptions'!$A$5:$E$20,3,FALSE)</x:f>
        <x:v>90</x:v>
      </x:c>
      <x:c r="G68" s="12" t="str">
        <x:f>VLOOKUP(D68,'Cost Assumptions'!$A$5:$E$20,4,FALSE)</x:f>
        <x:v>https://www.monkentoyotamtvernon.com/service-pricing.html
https://www.stcharlestoyota.net/service/service-specials/
https://www.toyotadm.com/cc-service-options-at-toyota-of-des-moines/</x:v>
      </x:c>
      <x:c r="H68" s="12" t="str">
        <x:f>VLOOKUP(D68,'Cost Assumptions'!$A$5:$E$20,5,FALSE)</x:f>
        <x:v>Rounded dealer menu average for synthetic oil + filter.</x:v>
      </x:c>
    </x:row>
    <x:row r="69" ht="36" customHeight="1">
      <x:c r="A69" s="12" t="n">
        <x:v>60</x:v>
      </x:c>
      <x:c r="B69" s="5" t="inlineStr">
        <x:is>
          <x:t xml:space="preserve">White</x:t>
        </x:is>
      </x:c>
      <x:c r="C69" s="12" t="inlineStr">
        <x:is>
          <x:t xml:space="preserve">Required</x:t>
        </x:is>
      </x:c>
      <x:c r="D69" s="12" t="n">
        <x:v>2</x:v>
      </x:c>
      <x:c r="E69" s="12" t="inlineStr">
        <x:is>
          <x:t xml:space="preserve">Tire rotation and inspect for damage</x:t>
        </x:is>
      </x:c>
      <x:c r="F69" s="8">
        <x:f>VLOOKUP(D69,'Cost Assumptions'!$A$5:$E$20,3,FALSE)</x:f>
        <x:v>30</x:v>
      </x:c>
      <x:c r="G69" s="12" t="str">
        <x:f>VLOOKUP(D69,'Cost Assumptions'!$A$5:$E$20,4,FALSE)</x:f>
        <x:v>https://www.monkentoyotamtvernon.com/service-pricing.html
https://www.toyotaofirving.com/service-menu-pricing/
https://www.toyotadm.com/cc-service-options-at-toyota-of-des-moines/</x:v>
      </x:c>
      <x:c r="H69" s="12" t="str">
        <x:f>VLOOKUP(D69,'Cost Assumptions'!$A$5:$E$20,5,FALSE)</x:f>
        <x:v>Rounded dealer rotation special / menu average.</x:v>
      </x:c>
    </x:row>
    <x:row r="70" ht="36" customHeight="1">
      <x:c r="A70" s="12" t="n">
        <x:v>60</x:v>
      </x:c>
      <x:c r="B70" s="5" t="inlineStr">
        <x:is>
          <x:t xml:space="preserve">White</x:t>
        </x:is>
      </x:c>
      <x:c r="C70" s="12" t="inlineStr">
        <x:is>
          <x:t xml:space="preserve">Required</x:t>
        </x:is>
      </x:c>
      <x:c r="D70" s="12" t="n">
        <x:v>3</x:v>
      </x:c>
      <x:c r="E70" s="12" t="inlineStr">
        <x:is>
          <x:t xml:space="preserve">Cabin air filter</x:t>
        </x:is>
      </x:c>
      <x:c r="F70" s="8">
        <x:f>VLOOKUP(D70,'Cost Assumptions'!$A$5:$E$20,3,FALSE)</x:f>
        <x:v>70</x:v>
      </x:c>
      <x:c r="G70" s="12" t="str">
        <x:f>VLOOKUP(D70,'Cost Assumptions'!$A$5:$E$20,4,FALSE)</x:f>
        <x:v>https://www.earlstewarttoyota.com/service/services-pricing/
https://www.toyotaofirving.com/service-menu-pricing/
https://www.toyotacarson.com/service/service-specials/</x:v>
      </x:c>
      <x:c r="H70" s="12" t="str">
        <x:f>VLOOKUP(D70,'Cost Assumptions'!$A$5:$E$20,5,FALSE)</x:f>
        <x:v>Rounded from multiple dealer filter replacement offers.</x:v>
      </x:c>
    </x:row>
    <x:row r="71" ht="36" customHeight="1">
      <x:c r="A71" s="12" t="n">
        <x:v>60</x:v>
      </x:c>
      <x:c r="B71" s="5" t="inlineStr">
        <x:is>
          <x:t xml:space="preserve">White</x:t>
        </x:is>
      </x:c>
      <x:c r="C71" s="12" t="inlineStr">
        <x:is>
          <x:t xml:space="preserve">Required</x:t>
        </x:is>
      </x:c>
      <x:c r="D71" s="12" t="n">
        <x:v>5</x:v>
      </x:c>
      <x:c r="E71" s="12" t="inlineStr">
        <x:is>
          <x:t xml:space="preserve">Grease driveshaft (lithium chassis grease)</x:t>
        </x:is>
      </x:c>
      <x:c r="F71" s="8">
        <x:f>VLOOKUP(D71,'Cost Assumptions'!$A$5:$E$20,3,FALSE)</x:f>
        <x:v>95</x:v>
      </x:c>
      <x:c r="G71" s="12" t="str">
        <x:f>VLOOKUP(D71,'Cost Assumptions'!$A$5:$E$20,4,FALSE)</x:f>
        <x:v>https://www.yourmechanic.com/estimates/toyota/tacoma/lubricate-driveshaft
No strong current Toyota dealer menu pricing found; editable estimate.</x:v>
      </x:c>
      <x:c r="H71" s="12" t="str">
        <x:f>VLOOKUP(D71,'Cost Assumptions'!$A$5:$E$20,5,FALSE)</x:f>
        <x:v>Estimated placeholder; verify locally. Many dealers bundle this into a mileage service.</x:v>
      </x:c>
    </x:row>
    <x:row r="72" ht="36" customHeight="1">
      <x:c r="A72" s="12" t="n">
        <x:v>60</x:v>
      </x:c>
      <x:c r="B72" s="5" t="inlineStr">
        <x:is>
          <x:t xml:space="preserve">White</x:t>
        </x:is>
      </x:c>
      <x:c r="C72" s="12" t="inlineStr">
        <x:is>
          <x:t xml:space="preserve">Required</x:t>
        </x:is>
      </x:c>
      <x:c r="D72" s="12" t="n">
        <x:v>6</x:v>
      </x:c>
      <x:c r="E72" s="12" t="inlineStr">
        <x:is>
          <x:t xml:space="preserve">Transfer case oil (gear oil LF 75W)</x:t>
        </x:is>
      </x:c>
      <x:c r="F72" s="8">
        <x:f>VLOOKUP(D72,'Cost Assumptions'!$A$5:$E$20,3,FALSE)</x:f>
        <x:v>185</x:v>
      </x:c>
      <x:c r="G72" s="12" t="str">
        <x:f>VLOOKUP(D72,'Cost Assumptions'!$A$5:$E$20,4,FALSE)</x:f>
        <x:v>https://www.monkentoyotamtvernon.com/service-pricing.html
https://www.elmhursttoyota.com/rear-differential-coupon/</x:v>
      </x:c>
      <x:c r="H72" s="12" t="str">
        <x:f>VLOOKUP(D72,'Cost Assumptions'!$A$5:$E$20,5,FALSE)</x:f>
        <x:v>Rounded from dealer transfer-case services listed around $173-$200.</x:v>
      </x:c>
    </x:row>
    <x:row r="73" ht="36" customHeight="1">
      <x:c r="A73" s="12" t="n">
        <x:v>60</x:v>
      </x:c>
      <x:c r="B73" s="5" t="inlineStr">
        <x:is>
          <x:t xml:space="preserve">White</x:t>
        </x:is>
      </x:c>
      <x:c r="C73" s="12" t="inlineStr">
        <x:is>
          <x:t xml:space="preserve">Required</x:t>
        </x:is>
      </x:c>
      <x:c r="D73" s="12" t="n">
        <x:v>7</x:v>
      </x:c>
      <x:c r="E73" s="12" t="inlineStr">
        <x:is>
          <x:t xml:space="preserve">Rear differential fluid (gear oil 75W-85 GL-5)</x:t>
        </x:is>
      </x:c>
      <x:c r="F73" s="8">
        <x:f>VLOOKUP(D73,'Cost Assumptions'!$A$5:$E$20,3,FALSE)</x:f>
        <x:v>160</x:v>
      </x:c>
      <x:c r="G73" s="12" t="str">
        <x:f>VLOOKUP(D73,'Cost Assumptions'!$A$5:$E$20,4,FALSE)</x:f>
        <x:v>https://www.monkentoyotamtvernon.com/service-pricing.html
https://www.manhattanbeachtoyota.com/recommended-service-pricing/</x:v>
      </x:c>
      <x:c r="H73" s="12" t="str">
        <x:f>VLOOKUP(D73,'Cost Assumptions'!$A$5:$E$20,5,FALSE)</x:f>
        <x:v>Rounded from dealer diff services listed about $160-$162.</x:v>
      </x:c>
    </x:row>
    <x:row r="74" ht="36" customHeight="1">
      <x:c r="A74" s="12" t="n">
        <x:v>60</x:v>
      </x:c>
      <x:c r="B74" s="5" t="inlineStr">
        <x:is>
          <x:t xml:space="preserve">White</x:t>
        </x:is>
      </x:c>
      <x:c r="C74" s="12" t="inlineStr">
        <x:is>
          <x:t xml:space="preserve">Required</x:t>
        </x:is>
      </x:c>
      <x:c r="D74" s="12" t="n">
        <x:v>8</x:v>
      </x:c>
      <x:c r="E74" s="12" t="inlineStr">
        <x:is>
          <x:t xml:space="preserve">Front differential fluid (gear oil 75W-85 GL-5)</x:t>
        </x:is>
      </x:c>
      <x:c r="F74" s="8">
        <x:f>VLOOKUP(D74,'Cost Assumptions'!$A$5:$E$20,3,FALSE)</x:f>
        <x:v>160</x:v>
      </x:c>
      <x:c r="G74" s="12" t="str">
        <x:f>VLOOKUP(D74,'Cost Assumptions'!$A$5:$E$20,4,FALSE)</x:f>
        <x:v>https://www.monkentoyotamtvernon.com/service-pricing.html
https://www.manhattanbeachtoyota.com/recommended-service-pricing/</x:v>
      </x:c>
      <x:c r="H74" s="12" t="str">
        <x:f>VLOOKUP(D74,'Cost Assumptions'!$A$5:$E$20,5,FALSE)</x:f>
        <x:v>Rounded from dealer diff services listed about $160-$162.</x:v>
      </x:c>
    </x:row>
    <x:row r="75" ht="36" customHeight="1">
      <x:c r="A75" s="12" t="n">
        <x:v>60</x:v>
      </x:c>
      <x:c r="B75" s="5" t="inlineStr">
        <x:is>
          <x:t xml:space="preserve">White</x:t>
        </x:is>
      </x:c>
      <x:c r="C75" s="12" t="inlineStr">
        <x:is>
          <x:t xml:space="preserve">Required</x:t>
        </x:is>
      </x:c>
      <x:c r="D75" s="12" t="n">
        <x:v>9</x:v>
      </x:c>
      <x:c r="E75" s="12" t="inlineStr">
        <x:is>
          <x:t xml:space="preserve">Spark plugs (Denso FK20HBR8, iridium)</x:t>
        </x:is>
      </x:c>
      <x:c r="F75" s="8">
        <x:f>VLOOKUP(D75,'Cost Assumptions'!$A$5:$E$20,3,FALSE)</x:f>
        <x:v>500</x:v>
      </x:c>
      <x:c r="G75" s="12" t="str">
        <x:f>VLOOKUP(D75,'Cost Assumptions'!$A$5:$E$20,4,FALSE)</x:f>
        <x:v>https://www.kbb.com/toyota/tacoma-double-cab/2022/spark-plug-replacement/
https://repairpal.com/estimator/toyota/tacoma/spark-plug-replacement-cost</x:v>
      </x:c>
      <x:c r="H75" s="12" t="str">
        <x:f>VLOOKUP(D75,'Cost Assumptions'!$A$5:$E$20,5,FALSE)</x:f>
        <x:v>Tacoma-specific dealer-style estimate; labor varies widely by year/engine.</x:v>
      </x:c>
    </x:row>
    <x:row r="76" ht="36" customHeight="1">
      <x:c r="A76" s="12" t="n">
        <x:v>60</x:v>
      </x:c>
      <x:c r="B76" s="6" t="inlineStr">
        <x:is>
          <x:t xml:space="preserve">Yellow</x:t>
        </x:is>
      </x:c>
      <x:c r="C76" s="12" t="inlineStr">
        <x:is>
          <x:t xml:space="preserve">As-needed</x:t>
        </x:is>
      </x:c>
      <x:c r="D76" s="12" t="n">
        <x:v>4</x:v>
      </x:c>
      <x:c r="E76" s="12" t="inlineStr">
        <x:is>
          <x:t xml:space="preserve">Engine intake air filter</x:t>
        </x:is>
      </x:c>
      <x:c r="F76" s="8">
        <x:f>VLOOKUP(D76,'Cost Assumptions'!$A$5:$E$20,3,FALSE)</x:f>
        <x:v>40</x:v>
      </x:c>
      <x:c r="G76" s="12" t="str">
        <x:f>VLOOKUP(D76,'Cost Assumptions'!$A$5:$E$20,4,FALSE)</x:f>
        <x:v>https://www.stcharlestoyota.net/service/service-specials/
https://www.toyotaofirving.com/service-menu-pricing/
https://www.monkentoyotamtvernon.com/service-pricing.html</x:v>
      </x:c>
      <x:c r="H76" s="12" t="str">
        <x:f>VLOOKUP(D76,'Cost Assumptions'!$A$5:$E$20,5,FALSE)</x:f>
        <x:v>Rounded from multiple dealer air-filter menu prices.</x:v>
      </x:c>
    </x:row>
    <x:row r="77" ht="36" customHeight="1">
      <x:c r="A77" s="12" t="n">
        <x:v>60</x:v>
      </x:c>
      <x:c r="B77" s="6" t="inlineStr">
        <x:is>
          <x:t xml:space="preserve">Yellow</x:t>
        </x:is>
      </x:c>
      <x:c r="C77" s="12" t="inlineStr">
        <x:is>
          <x:t xml:space="preserve">As-needed</x:t>
        </x:is>
      </x:c>
      <x:c r="D77" s="12" t="n">
        <x:v>13</x:v>
      </x:c>
      <x:c r="E77" s="12" t="inlineStr">
        <x:is>
          <x:t xml:space="preserve">Rear brake shoes</x:t>
        </x:is>
      </x:c>
      <x:c r="F77" s="8">
        <x:f>VLOOKUP(D77,'Cost Assumptions'!$A$5:$E$20,3,FALSE)</x:f>
        <x:v>360</x:v>
      </x:c>
      <x:c r="G77" s="12" t="str">
        <x:f>VLOOKUP(D77,'Cost Assumptions'!$A$5:$E$20,4,FALSE)</x:f>
        <x:v>https://repairpal.com/estimator/brake-shoes-replacement-cost
https://repairpal.com/estimator/toyota/pickup/brake-shoes-replacement-cost
Dealer menus were sparse; editable estimate.</x:v>
      </x:c>
      <x:c r="H77" s="12" t="str">
        <x:f>VLOOKUP(D77,'Cost Assumptions'!$A$5:$E$20,5,FALSE)</x:f>
        <x:v>Sparse dealer menu data; editable estimate based on published replacement ranges.</x:v>
      </x:c>
    </x:row>
    <x:row r="78" ht="36" customHeight="1">
      <x:c r="A78" s="12" t="n">
        <x:v>60</x:v>
      </x:c>
      <x:c r="B78" s="6" t="inlineStr">
        <x:is>
          <x:t xml:space="preserve">Yellow</x:t>
        </x:is>
      </x:c>
      <x:c r="C78" s="12" t="inlineStr">
        <x:is>
          <x:t xml:space="preserve">As-needed</x:t>
        </x:is>
      </x:c>
      <x:c r="D78" s="12" t="n">
        <x:v>14</x:v>
      </x:c>
      <x:c r="E78" s="12" t="inlineStr">
        <x:is>
          <x:t xml:space="preserve">Front brake pads</x:t>
        </x:is>
      </x:c>
      <x:c r="F78" s="8">
        <x:f>VLOOKUP(D78,'Cost Assumptions'!$A$5:$E$20,3,FALSE)</x:f>
        <x:v>300</x:v>
      </x:c>
      <x:c r="G78" s="12" t="str">
        <x:f>VLOOKUP(D78,'Cost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78" s="12" t="str">
        <x:f>VLOOKUP(D78,'Cost Assumptions'!$A$5:$E$20,5,FALSE)</x:f>
        <x:v>Rounded from dealer front/rear pad replacement menus and Toyota brake ranges.</x:v>
      </x:c>
    </x:row>
    <x:row r="79" ht="36" customHeight="1">
      <x:c r="A79" s="12" t="n">
        <x:v>60</x:v>
      </x:c>
      <x:c r="B79" s="7" t="inlineStr">
        <x:is>
          <x:t xml:space="preserve">Red</x:t>
        </x:is>
      </x:c>
      <x:c r="C79" s="12" t="inlineStr">
        <x:is>
          <x:t xml:space="preserve">Required</x:t>
        </x:is>
      </x:c>
      <x:c r="D79" s="12" t="n">
        <x:v>12</x:v>
      </x:c>
      <x:c r="E79" s="12" t="inlineStr">
        <x:is>
          <x:t xml:space="preserve">Transmission fluid (Toyota ATF WS / manual-specific)</x:t>
        </x:is>
      </x:c>
      <x:c r="F79" s="8">
        <x:f>VLOOKUP(D79,'Cost Assumptions'!$A$5:$E$20,3,FALSE)</x:f>
        <x:v>340</x:v>
      </x:c>
      <x:c r="G79" s="12" t="str">
        <x:f>VLOOKUP(D79,'Cost Assumptions'!$A$5:$E$20,4,FALSE)</x:f>
        <x:v>https://www.toyotaofirving.com/service-menu-pricing/
https://www.manhattanbeachtoyota.com/recommended-service-pricing/
https://www.maticktoyota.com/service-menu.html</x:v>
      </x:c>
      <x:c r="H79" s="12" t="str">
        <x:f>VLOOKUP(D79,'Cost Assumptions'!$A$5:$E$20,5,FALSE)</x:f>
        <x:v>Rounded from dealer WS transmission fluid exchange menus.</x:v>
      </x:c>
    </x:row>
    <x:row r="80" ht="36" customHeight="1">
      <x:c r="A80" s="12" t="n">
        <x:v>65</x:v>
      </x:c>
      <x:c r="B80" s="5" t="inlineStr">
        <x:is>
          <x:t xml:space="preserve">White</x:t>
        </x:is>
      </x:c>
      <x:c r="C80" s="12" t="inlineStr">
        <x:is>
          <x:t xml:space="preserve">Required</x:t>
        </x:is>
      </x:c>
      <x:c r="D80" s="12" t="n">
        <x:v>2</x:v>
      </x:c>
      <x:c r="E80" s="12" t="inlineStr">
        <x:is>
          <x:t xml:space="preserve">Tire rotation and inspect for damage</x:t>
        </x:is>
      </x:c>
      <x:c r="F80" s="8">
        <x:f>VLOOKUP(D80,'Cost Assumptions'!$A$5:$E$20,3,FALSE)</x:f>
        <x:v>30</x:v>
      </x:c>
      <x:c r="G80" s="12" t="str">
        <x:f>VLOOKUP(D80,'Cost Assumptions'!$A$5:$E$20,4,FALSE)</x:f>
        <x:v>https://www.monkentoyotamtvernon.com/service-pricing.html
https://www.toyotaofirving.com/service-menu-pricing/
https://www.toyotadm.com/cc-service-options-at-toyota-of-des-moines/</x:v>
      </x:c>
      <x:c r="H80" s="12" t="str">
        <x:f>VLOOKUP(D80,'Cost Assumptions'!$A$5:$E$20,5,FALSE)</x:f>
        <x:v>Rounded dealer rotation special / menu average.</x:v>
      </x:c>
    </x:row>
    <x:row r="81" ht="36" customHeight="1">
      <x:c r="A81" s="12" t="n">
        <x:v>65</x:v>
      </x:c>
      <x:c r="B81" s="6" t="inlineStr">
        <x:is>
          <x:t xml:space="preserve">Yellow</x:t>
        </x:is>
      </x:c>
      <x:c r="C81" s="12" t="inlineStr">
        <x:is>
          <x:t xml:space="preserve">As-needed</x:t>
        </x:is>
      </x:c>
      <x:c r="D81" s="12" t="n">
        <x:v>4</x:v>
      </x:c>
      <x:c r="E81" s="12" t="inlineStr">
        <x:is>
          <x:t xml:space="preserve">Engine intake air filter</x:t>
        </x:is>
      </x:c>
      <x:c r="F81" s="8">
        <x:f>VLOOKUP(D81,'Cost Assumptions'!$A$5:$E$20,3,FALSE)</x:f>
        <x:v>40</x:v>
      </x:c>
      <x:c r="G81" s="12" t="str">
        <x:f>VLOOKUP(D81,'Cost Assumptions'!$A$5:$E$20,4,FALSE)</x:f>
        <x:v>https://www.stcharlestoyota.net/service/service-specials/
https://www.toyotaofirving.com/service-menu-pricing/
https://www.monkentoyotamtvernon.com/service-pricing.html</x:v>
      </x:c>
      <x:c r="H81" s="12" t="str">
        <x:f>VLOOKUP(D81,'Cost Assumptions'!$A$5:$E$20,5,FALSE)</x:f>
        <x:v>Rounded from multiple dealer air-filter menu prices.</x:v>
      </x:c>
    </x:row>
    <x:row r="82" ht="36" customHeight="1">
      <x:c r="A82" s="12" t="n">
        <x:v>65</x:v>
      </x:c>
      <x:c r="B82" s="7" t="inlineStr">
        <x:is>
          <x:t xml:space="preserve">Red</x:t>
        </x:is>
      </x:c>
      <x:c r="C82" s="12" t="inlineStr">
        <x:is>
          <x:t xml:space="preserve">Required</x:t>
        </x:is>
      </x:c>
      <x:c r="D82" s="12" t="n">
        <x:v>1</x:v>
      </x:c>
      <x:c r="E82" s="12" t="inlineStr">
        <x:is>
          <x:t xml:space="preserve">Engine oil and filter</x:t>
        </x:is>
      </x:c>
      <x:c r="F82" s="8">
        <x:f>VLOOKUP(D82,'Cost Assumptions'!$A$5:$E$20,3,FALSE)</x:f>
        <x:v>90</x:v>
      </x:c>
      <x:c r="G82" s="12" t="str">
        <x:f>VLOOKUP(D82,'Cost Assumptions'!$A$5:$E$20,4,FALSE)</x:f>
        <x:v>https://www.monkentoyotamtvernon.com/service-pricing.html
https://www.stcharlestoyota.net/service/service-specials/
https://www.toyotadm.com/cc-service-options-at-toyota-of-des-moines/</x:v>
      </x:c>
      <x:c r="H82" s="12" t="str">
        <x:f>VLOOKUP(D82,'Cost Assumptions'!$A$5:$E$20,5,FALSE)</x:f>
        <x:v>Rounded dealer menu average for synthetic oil + filter.</x:v>
      </x:c>
    </x:row>
    <x:row r="83" ht="36" customHeight="1">
      <x:c r="A83" s="12" t="n">
        <x:v>65</x:v>
      </x:c>
      <x:c r="B83" s="7" t="inlineStr">
        <x:is>
          <x:t xml:space="preserve">Red</x:t>
        </x:is>
      </x:c>
      <x:c r="C83" s="12" t="inlineStr">
        <x:is>
          <x:t xml:space="preserve">Required</x:t>
        </x:is>
      </x:c>
      <x:c r="D83" s="12" t="n">
        <x:v>5</x:v>
      </x:c>
      <x:c r="E83" s="12" t="inlineStr">
        <x:is>
          <x:t xml:space="preserve">Grease driveshaft (lithium chassis grease)</x:t>
        </x:is>
      </x:c>
      <x:c r="F83" s="8">
        <x:f>VLOOKUP(D83,'Cost Assumptions'!$A$5:$E$20,3,FALSE)</x:f>
        <x:v>95</x:v>
      </x:c>
      <x:c r="G83" s="12" t="str">
        <x:f>VLOOKUP(D83,'Cost Assumptions'!$A$5:$E$20,4,FALSE)</x:f>
        <x:v>https://www.yourmechanic.com/estimates/toyota/tacoma/lubricate-driveshaft
No strong current Toyota dealer menu pricing found; editable estimate.</x:v>
      </x:c>
      <x:c r="H83" s="12" t="str">
        <x:f>VLOOKUP(D83,'Cost Assumptions'!$A$5:$E$20,5,FALSE)</x:f>
        <x:v>Estimated placeholder; verify locally. Many dealers bundle this into a mileage service.</x:v>
      </x:c>
    </x:row>
    <x:row r="84" ht="36" customHeight="1">
      <x:c r="A84" s="12" t="n">
        <x:v>70</x:v>
      </x:c>
      <x:c r="B84" s="5" t="inlineStr">
        <x:is>
          <x:t xml:space="preserve">White</x:t>
        </x:is>
      </x:c>
      <x:c r="C84" s="12" t="inlineStr">
        <x:is>
          <x:t xml:space="preserve">Required</x:t>
        </x:is>
      </x:c>
      <x:c r="D84" s="12" t="n">
        <x:v>1</x:v>
      </x:c>
      <x:c r="E84" s="12" t="inlineStr">
        <x:is>
          <x:t xml:space="preserve">Engine oil and filter</x:t>
        </x:is>
      </x:c>
      <x:c r="F84" s="8">
        <x:f>VLOOKUP(D84,'Cost Assumptions'!$A$5:$E$20,3,FALSE)</x:f>
        <x:v>90</x:v>
      </x:c>
      <x:c r="G84" s="12" t="str">
        <x:f>VLOOKUP(D84,'Cost Assumptions'!$A$5:$E$20,4,FALSE)</x:f>
        <x:v>https://www.monkentoyotamtvernon.com/service-pricing.html
https://www.stcharlestoyota.net/service/service-specials/
https://www.toyotadm.com/cc-service-options-at-toyota-of-des-moines/</x:v>
      </x:c>
      <x:c r="H84" s="12" t="str">
        <x:f>VLOOKUP(D84,'Cost Assumptions'!$A$5:$E$20,5,FALSE)</x:f>
        <x:v>Rounded dealer menu average for synthetic oil + filter.</x:v>
      </x:c>
    </x:row>
    <x:row r="85" ht="36" customHeight="1">
      <x:c r="A85" s="12" t="n">
        <x:v>70</x:v>
      </x:c>
      <x:c r="B85" s="5" t="inlineStr">
        <x:is>
          <x:t xml:space="preserve">White</x:t>
        </x:is>
      </x:c>
      <x:c r="C85" s="12" t="inlineStr">
        <x:is>
          <x:t xml:space="preserve">Required</x:t>
        </x:is>
      </x:c>
      <x:c r="D85" s="12" t="n">
        <x:v>2</x:v>
      </x:c>
      <x:c r="E85" s="12" t="inlineStr">
        <x:is>
          <x:t xml:space="preserve">Tire rotation and inspect for damage</x:t>
        </x:is>
      </x:c>
      <x:c r="F85" s="8">
        <x:f>VLOOKUP(D85,'Cost Assumptions'!$A$5:$E$20,3,FALSE)</x:f>
        <x:v>30</x:v>
      </x:c>
      <x:c r="G85" s="12" t="str">
        <x:f>VLOOKUP(D85,'Cost Assumptions'!$A$5:$E$20,4,FALSE)</x:f>
        <x:v>https://www.monkentoyotamtvernon.com/service-pricing.html
https://www.toyotaofirving.com/service-menu-pricing/
https://www.toyotadm.com/cc-service-options-at-toyota-of-des-moines/</x:v>
      </x:c>
      <x:c r="H85" s="12" t="str">
        <x:f>VLOOKUP(D85,'Cost Assumptions'!$A$5:$E$20,5,FALSE)</x:f>
        <x:v>Rounded dealer rotation special / menu average.</x:v>
      </x:c>
    </x:row>
    <x:row r="86" ht="36" customHeight="1">
      <x:c r="A86" s="12" t="n">
        <x:v>70</x:v>
      </x:c>
      <x:c r="B86" s="6" t="inlineStr">
        <x:is>
          <x:t xml:space="preserve">Yellow</x:t>
        </x:is>
      </x:c>
      <x:c r="C86" s="12" t="inlineStr">
        <x:is>
          <x:t xml:space="preserve">As-needed</x:t>
        </x:is>
      </x:c>
      <x:c r="D86" s="12" t="n">
        <x:v>4</x:v>
      </x:c>
      <x:c r="E86" s="12" t="inlineStr">
        <x:is>
          <x:t xml:space="preserve">Engine intake air filter</x:t>
        </x:is>
      </x:c>
      <x:c r="F86" s="8">
        <x:f>VLOOKUP(D86,'Cost Assumptions'!$A$5:$E$20,3,FALSE)</x:f>
        <x:v>40</x:v>
      </x:c>
      <x:c r="G86" s="12" t="str">
        <x:f>VLOOKUP(D86,'Cost Assumptions'!$A$5:$E$20,4,FALSE)</x:f>
        <x:v>https://www.stcharlestoyota.net/service/service-specials/
https://www.toyotaofirving.com/service-menu-pricing/
https://www.monkentoyotamtvernon.com/service-pricing.html</x:v>
      </x:c>
      <x:c r="H86" s="12" t="str">
        <x:f>VLOOKUP(D86,'Cost Assumptions'!$A$5:$E$20,5,FALSE)</x:f>
        <x:v>Rounded from multiple dealer air-filter menu prices.</x:v>
      </x:c>
    </x:row>
    <x:row r="87" ht="36" customHeight="1">
      <x:c r="A87" s="12" t="n">
        <x:v>70</x:v>
      </x:c>
      <x:c r="B87" s="6" t="inlineStr">
        <x:is>
          <x:t xml:space="preserve">Yellow</x:t>
        </x:is>
      </x:c>
      <x:c r="C87" s="12" t="inlineStr">
        <x:is>
          <x:t xml:space="preserve">As-needed</x:t>
        </x:is>
      </x:c>
      <x:c r="D87" s="12" t="n">
        <x:v>14</x:v>
      </x:c>
      <x:c r="E87" s="12" t="inlineStr">
        <x:is>
          <x:t xml:space="preserve">Front brake pads</x:t>
        </x:is>
      </x:c>
      <x:c r="F87" s="8">
        <x:f>VLOOKUP(D87,'Cost Assumptions'!$A$5:$E$20,3,FALSE)</x:f>
        <x:v>300</x:v>
      </x:c>
      <x:c r="G87" s="12" t="str">
        <x:f>VLOOKUP(D87,'Cost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87" s="12" t="str">
        <x:f>VLOOKUP(D87,'Cost Assumptions'!$A$5:$E$20,5,FALSE)</x:f>
        <x:v>Rounded from dealer front/rear pad replacement menus and Toyota brake ranges.</x:v>
      </x:c>
    </x:row>
    <x:row r="88" ht="36" customHeight="1">
      <x:c r="A88" s="12" t="n">
        <x:v>70</x:v>
      </x:c>
      <x:c r="B88" s="7" t="inlineStr">
        <x:is>
          <x:t xml:space="preserve">Red</x:t>
        </x:is>
      </x:c>
      <x:c r="C88" s="12" t="inlineStr">
        <x:is>
          <x:t xml:space="preserve">Required</x:t>
        </x:is>
      </x:c>
      <x:c r="D88" s="12" t="n">
        <x:v>5</x:v>
      </x:c>
      <x:c r="E88" s="12" t="inlineStr">
        <x:is>
          <x:t xml:space="preserve">Grease driveshaft (lithium chassis grease)</x:t>
        </x:is>
      </x:c>
      <x:c r="F88" s="8">
        <x:f>VLOOKUP(D88,'Cost Assumptions'!$A$5:$E$20,3,FALSE)</x:f>
        <x:v>95</x:v>
      </x:c>
      <x:c r="G88" s="12" t="str">
        <x:f>VLOOKUP(D88,'Cost Assumptions'!$A$5:$E$20,4,FALSE)</x:f>
        <x:v>https://www.yourmechanic.com/estimates/toyota/tacoma/lubricate-driveshaft
No strong current Toyota dealer menu pricing found; editable estimate.</x:v>
      </x:c>
      <x:c r="H88" s="12" t="str">
        <x:f>VLOOKUP(D88,'Cost Assumptions'!$A$5:$E$20,5,FALSE)</x:f>
        <x:v>Estimated placeholder; verify locally. Many dealers bundle this into a mileage service.</x:v>
      </x:c>
    </x:row>
    <x:row r="89" ht="36" customHeight="1">
      <x:c r="A89" s="12" t="n">
        <x:v>75</x:v>
      </x:c>
      <x:c r="B89" s="5" t="inlineStr">
        <x:is>
          <x:t xml:space="preserve">White</x:t>
        </x:is>
      </x:c>
      <x:c r="C89" s="12" t="inlineStr">
        <x:is>
          <x:t xml:space="preserve">Required</x:t>
        </x:is>
      </x:c>
      <x:c r="D89" s="12" t="n">
        <x:v>2</x:v>
      </x:c>
      <x:c r="E89" s="12" t="inlineStr">
        <x:is>
          <x:t xml:space="preserve">Tire rotation and inspect for damage</x:t>
        </x:is>
      </x:c>
      <x:c r="F89" s="8">
        <x:f>VLOOKUP(D89,'Cost Assumptions'!$A$5:$E$20,3,FALSE)</x:f>
        <x:v>30</x:v>
      </x:c>
      <x:c r="G89" s="12" t="str">
        <x:f>VLOOKUP(D89,'Cost Assumptions'!$A$5:$E$20,4,FALSE)</x:f>
        <x:v>https://www.monkentoyotamtvernon.com/service-pricing.html
https://www.toyotaofirving.com/service-menu-pricing/
https://www.toyotadm.com/cc-service-options-at-toyota-of-des-moines/</x:v>
      </x:c>
      <x:c r="H89" s="12" t="str">
        <x:f>VLOOKUP(D89,'Cost Assumptions'!$A$5:$E$20,5,FALSE)</x:f>
        <x:v>Rounded dealer rotation special / menu average.</x:v>
      </x:c>
    </x:row>
    <x:row r="90" ht="36" customHeight="1">
      <x:c r="A90" s="12" t="n">
        <x:v>75</x:v>
      </x:c>
      <x:c r="B90" s="5" t="inlineStr">
        <x:is>
          <x:t xml:space="preserve">White</x:t>
        </x:is>
      </x:c>
      <x:c r="C90" s="12" t="inlineStr">
        <x:is>
          <x:t xml:space="preserve">Required</x:t>
        </x:is>
      </x:c>
      <x:c r="D90" s="12" t="n">
        <x:v>5</x:v>
      </x:c>
      <x:c r="E90" s="12" t="inlineStr">
        <x:is>
          <x:t xml:space="preserve">Grease driveshaft (lithium chassis grease)</x:t>
        </x:is>
      </x:c>
      <x:c r="F90" s="8">
        <x:f>VLOOKUP(D90,'Cost Assumptions'!$A$5:$E$20,3,FALSE)</x:f>
        <x:v>95</x:v>
      </x:c>
      <x:c r="G90" s="12" t="str">
        <x:f>VLOOKUP(D90,'Cost Assumptions'!$A$5:$E$20,4,FALSE)</x:f>
        <x:v>https://www.yourmechanic.com/estimates/toyota/tacoma/lubricate-driveshaft
No strong current Toyota dealer menu pricing found; editable estimate.</x:v>
      </x:c>
      <x:c r="H90" s="12" t="str">
        <x:f>VLOOKUP(D90,'Cost Assumptions'!$A$5:$E$20,5,FALSE)</x:f>
        <x:v>Estimated placeholder; verify locally. Many dealers bundle this into a mileage service.</x:v>
      </x:c>
    </x:row>
    <x:row r="91" ht="36" customHeight="1">
      <x:c r="A91" s="12" t="n">
        <x:v>75</x:v>
      </x:c>
      <x:c r="B91" s="6" t="inlineStr">
        <x:is>
          <x:t xml:space="preserve">Yellow</x:t>
        </x:is>
      </x:c>
      <x:c r="C91" s="12" t="inlineStr">
        <x:is>
          <x:t xml:space="preserve">As-needed</x:t>
        </x:is>
      </x:c>
      <x:c r="D91" s="12" t="n">
        <x:v>4</x:v>
      </x:c>
      <x:c r="E91" s="12" t="inlineStr">
        <x:is>
          <x:t xml:space="preserve">Engine intake air filter</x:t>
        </x:is>
      </x:c>
      <x:c r="F91" s="8">
        <x:f>VLOOKUP(D91,'Cost Assumptions'!$A$5:$E$20,3,FALSE)</x:f>
        <x:v>40</x:v>
      </x:c>
      <x:c r="G91" s="12" t="str">
        <x:f>VLOOKUP(D91,'Cost Assumptions'!$A$5:$E$20,4,FALSE)</x:f>
        <x:v>https://www.stcharlestoyota.net/service/service-specials/
https://www.toyotaofirving.com/service-menu-pricing/
https://www.monkentoyotamtvernon.com/service-pricing.html</x:v>
      </x:c>
      <x:c r="H91" s="12" t="str">
        <x:f>VLOOKUP(D91,'Cost Assumptions'!$A$5:$E$20,5,FALSE)</x:f>
        <x:v>Rounded from multiple dealer air-filter menu prices.</x:v>
      </x:c>
    </x:row>
    <x:row r="92" ht="36" customHeight="1">
      <x:c r="A92" s="12" t="n">
        <x:v>75</x:v>
      </x:c>
      <x:c r="B92" s="6" t="inlineStr">
        <x:is>
          <x:t xml:space="preserve">Yellow</x:t>
        </x:is>
      </x:c>
      <x:c r="C92" s="12" t="inlineStr">
        <x:is>
          <x:t xml:space="preserve">As-needed</x:t>
        </x:is>
      </x:c>
      <x:c r="D92" s="12" t="n">
        <x:v>16</x:v>
      </x:c>
      <x:c r="E92" s="12" t="inlineStr">
        <x:is>
          <x:t xml:space="preserve">Brake fluid</x:t>
        </x:is>
      </x:c>
      <x:c r="F92" s="8">
        <x:f>VLOOKUP(D92,'Cost Assumptions'!$A$5:$E$20,3,FALSE)</x:f>
        <x:v>185</x:v>
      </x:c>
      <x:c r="G92" s="12" t="str">
        <x:f>VLOOKUP(D92,'Cost Assumptions'!$A$5:$E$20,4,FALSE)</x:f>
        <x:v>https://www.monkentoyotamtvernon.com/service-pricing.html
https://www.toyotaofirving.com/service-menu-pricing/
https://www.maticktoyota.com/service-menu.html</x:v>
      </x:c>
      <x:c r="H92" s="12" t="str">
        <x:f>VLOOKUP(D92,'Cost Assumptions'!$A$5:$E$20,5,FALSE)</x:f>
        <x:v>Rounded from dealer brake-fluid exchange menus.</x:v>
      </x:c>
    </x:row>
    <x:row r="93" ht="36" customHeight="1">
      <x:c r="A93" s="12" t="n">
        <x:v>75</x:v>
      </x:c>
      <x:c r="B93" s="7" t="inlineStr">
        <x:is>
          <x:t xml:space="preserve">Red</x:t>
        </x:is>
      </x:c>
      <x:c r="C93" s="12" t="inlineStr">
        <x:is>
          <x:t xml:space="preserve">Required</x:t>
        </x:is>
      </x:c>
      <x:c r="D93" s="12" t="n">
        <x:v>1</x:v>
      </x:c>
      <x:c r="E93" s="12" t="inlineStr">
        <x:is>
          <x:t xml:space="preserve">Engine oil and filter</x:t>
        </x:is>
      </x:c>
      <x:c r="F93" s="8">
        <x:f>VLOOKUP(D93,'Cost Assumptions'!$A$5:$E$20,3,FALSE)</x:f>
        <x:v>90</x:v>
      </x:c>
      <x:c r="G93" s="12" t="str">
        <x:f>VLOOKUP(D93,'Cost Assumptions'!$A$5:$E$20,4,FALSE)</x:f>
        <x:v>https://www.monkentoyotamtvernon.com/service-pricing.html
https://www.stcharlestoyota.net/service/service-specials/
https://www.toyotadm.com/cc-service-options-at-toyota-of-des-moines/</x:v>
      </x:c>
      <x:c r="H93" s="12" t="str">
        <x:f>VLOOKUP(D93,'Cost Assumptions'!$A$5:$E$20,5,FALSE)</x:f>
        <x:v>Rounded dealer menu average for synthetic oil + filter.</x:v>
      </x:c>
    </x:row>
    <x:row r="94" ht="36" customHeight="1">
      <x:c r="A94" s="12" t="n">
        <x:v>75</x:v>
      </x:c>
      <x:c r="B94" s="7" t="inlineStr">
        <x:is>
          <x:t xml:space="preserve">Red</x:t>
        </x:is>
      </x:c>
      <x:c r="C94" s="12" t="inlineStr">
        <x:is>
          <x:t xml:space="preserve">Required</x:t>
        </x:is>
      </x:c>
      <x:c r="D94" s="12" t="n">
        <x:v>7</x:v>
      </x:c>
      <x:c r="E94" s="12" t="inlineStr">
        <x:is>
          <x:t xml:space="preserve">Rear differential fluid (gear oil 75W-85 GL-5)</x:t>
        </x:is>
      </x:c>
      <x:c r="F94" s="8">
        <x:f>VLOOKUP(D94,'Cost Assumptions'!$A$5:$E$20,3,FALSE)</x:f>
        <x:v>160</x:v>
      </x:c>
      <x:c r="G94" s="12" t="str">
        <x:f>VLOOKUP(D94,'Cost Assumptions'!$A$5:$E$20,4,FALSE)</x:f>
        <x:v>https://www.monkentoyotamtvernon.com/service-pricing.html
https://www.manhattanbeachtoyota.com/recommended-service-pricing/</x:v>
      </x:c>
      <x:c r="H94" s="12" t="str">
        <x:f>VLOOKUP(D94,'Cost Assumptions'!$A$5:$E$20,5,FALSE)</x:f>
        <x:v>Rounded from dealer diff services listed about $160-$162.</x:v>
      </x:c>
    </x:row>
    <x:row r="95" ht="36" customHeight="1">
      <x:c r="A95" s="12" t="n">
        <x:v>75</x:v>
      </x:c>
      <x:c r="B95" s="7" t="inlineStr">
        <x:is>
          <x:t xml:space="preserve">Red</x:t>
        </x:is>
      </x:c>
      <x:c r="C95" s="12" t="inlineStr">
        <x:is>
          <x:t xml:space="preserve">Required</x:t>
        </x:is>
      </x:c>
      <x:c r="D95" s="12" t="n">
        <x:v>8</x:v>
      </x:c>
      <x:c r="E95" s="12" t="inlineStr">
        <x:is>
          <x:t xml:space="preserve">Front differential fluid (gear oil 75W-85 GL-5)</x:t>
        </x:is>
      </x:c>
      <x:c r="F95" s="8">
        <x:f>VLOOKUP(D95,'Cost Assumptions'!$A$5:$E$20,3,FALSE)</x:f>
        <x:v>160</x:v>
      </x:c>
      <x:c r="G95" s="12" t="str">
        <x:f>VLOOKUP(D95,'Cost Assumptions'!$A$5:$E$20,4,FALSE)</x:f>
        <x:v>https://www.monkentoyotamtvernon.com/service-pricing.html
https://www.manhattanbeachtoyota.com/recommended-service-pricing/</x:v>
      </x:c>
      <x:c r="H95" s="12" t="str">
        <x:f>VLOOKUP(D95,'Cost Assumptions'!$A$5:$E$20,5,FALSE)</x:f>
        <x:v>Rounded from dealer diff services listed about $160-$162.</x:v>
      </x:c>
    </x:row>
    <x:row r="96" ht="36" customHeight="1">
      <x:c r="A96" s="12" t="n">
        <x:v>80</x:v>
      </x:c>
      <x:c r="B96" s="5" t="inlineStr">
        <x:is>
          <x:t xml:space="preserve">White</x:t>
        </x:is>
      </x:c>
      <x:c r="C96" s="12" t="inlineStr">
        <x:is>
          <x:t xml:space="preserve">Required</x:t>
        </x:is>
      </x:c>
      <x:c r="D96" s="12" t="n">
        <x:v>1</x:v>
      </x:c>
      <x:c r="E96" s="12" t="inlineStr">
        <x:is>
          <x:t xml:space="preserve">Engine oil and filter</x:t>
        </x:is>
      </x:c>
      <x:c r="F96" s="8">
        <x:f>VLOOKUP(D96,'Cost Assumptions'!$A$5:$E$20,3,FALSE)</x:f>
        <x:v>90</x:v>
      </x:c>
      <x:c r="G96" s="12" t="str">
        <x:f>VLOOKUP(D96,'Cost Assumptions'!$A$5:$E$20,4,FALSE)</x:f>
        <x:v>https://www.monkentoyotamtvernon.com/service-pricing.html
https://www.stcharlestoyota.net/service/service-specials/
https://www.toyotadm.com/cc-service-options-at-toyota-of-des-moines/</x:v>
      </x:c>
      <x:c r="H96" s="12" t="str">
        <x:f>VLOOKUP(D96,'Cost Assumptions'!$A$5:$E$20,5,FALSE)</x:f>
        <x:v>Rounded dealer menu average for synthetic oil + filter.</x:v>
      </x:c>
    </x:row>
    <x:row r="97" ht="36" customHeight="1">
      <x:c r="A97" s="12" t="n">
        <x:v>80</x:v>
      </x:c>
      <x:c r="B97" s="5" t="inlineStr">
        <x:is>
          <x:t xml:space="preserve">White</x:t>
        </x:is>
      </x:c>
      <x:c r="C97" s="12" t="inlineStr">
        <x:is>
          <x:t xml:space="preserve">Required</x:t>
        </x:is>
      </x:c>
      <x:c r="D97" s="12" t="n">
        <x:v>2</x:v>
      </x:c>
      <x:c r="E97" s="12" t="inlineStr">
        <x:is>
          <x:t xml:space="preserve">Tire rotation and inspect for damage</x:t>
        </x:is>
      </x:c>
      <x:c r="F97" s="8">
        <x:f>VLOOKUP(D97,'Cost Assumptions'!$A$5:$E$20,3,FALSE)</x:f>
        <x:v>30</x:v>
      </x:c>
      <x:c r="G97" s="12" t="str">
        <x:f>VLOOKUP(D97,'Cost Assumptions'!$A$5:$E$20,4,FALSE)</x:f>
        <x:v>https://www.monkentoyotamtvernon.com/service-pricing.html
https://www.toyotaofirving.com/service-menu-pricing/
https://www.toyotadm.com/cc-service-options-at-toyota-of-des-moines/</x:v>
      </x:c>
      <x:c r="H97" s="12" t="str">
        <x:f>VLOOKUP(D97,'Cost Assumptions'!$A$5:$E$20,5,FALSE)</x:f>
        <x:v>Rounded dealer rotation special / menu average.</x:v>
      </x:c>
    </x:row>
    <x:row r="98" ht="36" customHeight="1">
      <x:c r="A98" s="12" t="n">
        <x:v>80</x:v>
      </x:c>
      <x:c r="B98" s="5" t="inlineStr">
        <x:is>
          <x:t xml:space="preserve">White</x:t>
        </x:is>
      </x:c>
      <x:c r="C98" s="12" t="inlineStr">
        <x:is>
          <x:t xml:space="preserve">Required</x:t>
        </x:is>
      </x:c>
      <x:c r="D98" s="12" t="n">
        <x:v>3</x:v>
      </x:c>
      <x:c r="E98" s="12" t="inlineStr">
        <x:is>
          <x:t xml:space="preserve">Cabin air filter</x:t>
        </x:is>
      </x:c>
      <x:c r="F98" s="8">
        <x:f>VLOOKUP(D98,'Cost Assumptions'!$A$5:$E$20,3,FALSE)</x:f>
        <x:v>70</x:v>
      </x:c>
      <x:c r="G98" s="12" t="str">
        <x:f>VLOOKUP(D98,'Cost Assumptions'!$A$5:$E$20,4,FALSE)</x:f>
        <x:v>https://www.earlstewarttoyota.com/service/services-pricing/
https://www.toyotaofirving.com/service-menu-pricing/
https://www.toyotacarson.com/service/service-specials/</x:v>
      </x:c>
      <x:c r="H98" s="12" t="str">
        <x:f>VLOOKUP(D98,'Cost Assumptions'!$A$5:$E$20,5,FALSE)</x:f>
        <x:v>Rounded from multiple dealer filter replacement offers.</x:v>
      </x:c>
    </x:row>
    <x:row r="99" ht="36" customHeight="1">
      <x:c r="A99" s="12" t="n">
        <x:v>80</x:v>
      </x:c>
      <x:c r="B99" s="6" t="inlineStr">
        <x:is>
          <x:t xml:space="preserve">Yellow</x:t>
        </x:is>
      </x:c>
      <x:c r="C99" s="12" t="inlineStr">
        <x:is>
          <x:t xml:space="preserve">As-needed</x:t>
        </x:is>
      </x:c>
      <x:c r="D99" s="12" t="n">
        <x:v>4</x:v>
      </x:c>
      <x:c r="E99" s="12" t="inlineStr">
        <x:is>
          <x:t xml:space="preserve">Engine intake air filter</x:t>
        </x:is>
      </x:c>
      <x:c r="F99" s="8">
        <x:f>VLOOKUP(D99,'Cost Assumptions'!$A$5:$E$20,3,FALSE)</x:f>
        <x:v>40</x:v>
      </x:c>
      <x:c r="G99" s="12" t="str">
        <x:f>VLOOKUP(D99,'Cost Assumptions'!$A$5:$E$20,4,FALSE)</x:f>
        <x:v>https://www.stcharlestoyota.net/service/service-specials/
https://www.toyotaofirving.com/service-menu-pricing/
https://www.monkentoyotamtvernon.com/service-pricing.html</x:v>
      </x:c>
      <x:c r="H99" s="12" t="str">
        <x:f>VLOOKUP(D99,'Cost Assumptions'!$A$5:$E$20,5,FALSE)</x:f>
        <x:v>Rounded from multiple dealer air-filter menu prices.</x:v>
      </x:c>
    </x:row>
    <x:row r="100" ht="36" customHeight="1">
      <x:c r="A100" s="12" t="n">
        <x:v>80</x:v>
      </x:c>
      <x:c r="B100" s="6" t="inlineStr">
        <x:is>
          <x:t xml:space="preserve">Yellow</x:t>
        </x:is>
      </x:c>
      <x:c r="C100" s="12" t="inlineStr">
        <x:is>
          <x:t xml:space="preserve">As-needed</x:t>
        </x:is>
      </x:c>
      <x:c r="D100" s="12" t="n">
        <x:v>13</x:v>
      </x:c>
      <x:c r="E100" s="12" t="inlineStr">
        <x:is>
          <x:t xml:space="preserve">Rear brake shoes</x:t>
        </x:is>
      </x:c>
      <x:c r="F100" s="8">
        <x:f>VLOOKUP(D100,'Cost Assumptions'!$A$5:$E$20,3,FALSE)</x:f>
        <x:v>360</x:v>
      </x:c>
      <x:c r="G100" s="12" t="str">
        <x:f>VLOOKUP(D100,'Cost Assumptions'!$A$5:$E$20,4,FALSE)</x:f>
        <x:v>https://repairpal.com/estimator/brake-shoes-replacement-cost
https://repairpal.com/estimator/toyota/pickup/brake-shoes-replacement-cost
Dealer menus were sparse; editable estimate.</x:v>
      </x:c>
      <x:c r="H100" s="12" t="str">
        <x:f>VLOOKUP(D100,'Cost Assumptions'!$A$5:$E$20,5,FALSE)</x:f>
        <x:v>Sparse dealer menu data; editable estimate based on published replacement ranges.</x:v>
      </x:c>
    </x:row>
    <x:row r="101" ht="36" customHeight="1">
      <x:c r="A101" s="12" t="n">
        <x:v>80</x:v>
      </x:c>
      <x:c r="B101" s="6" t="inlineStr">
        <x:is>
          <x:t xml:space="preserve">Yellow</x:t>
        </x:is>
      </x:c>
      <x:c r="C101" s="12" t="inlineStr">
        <x:is>
          <x:t xml:space="preserve">As-needed</x:t>
        </x:is>
      </x:c>
      <x:c r="D101" s="12" t="n">
        <x:v>14</x:v>
      </x:c>
      <x:c r="E101" s="12" t="inlineStr">
        <x:is>
          <x:t xml:space="preserve">Front brake pads</x:t>
        </x:is>
      </x:c>
      <x:c r="F101" s="8">
        <x:f>VLOOKUP(D101,'Cost Assumptions'!$A$5:$E$20,3,FALSE)</x:f>
        <x:v>300</x:v>
      </x:c>
      <x:c r="G101" s="12" t="str">
        <x:f>VLOOKUP(D101,'Cost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101" s="12" t="str">
        <x:f>VLOOKUP(D101,'Cost Assumptions'!$A$5:$E$20,5,FALSE)</x:f>
        <x:v>Rounded from dealer front/rear pad replacement menus and Toyota brake ranges.</x:v>
      </x:c>
    </x:row>
    <x:row r="102" ht="36" customHeight="1">
      <x:c r="A102" s="12" t="n">
        <x:v>80</x:v>
      </x:c>
      <x:c r="B102" s="7" t="inlineStr">
        <x:is>
          <x:t xml:space="preserve">Red</x:t>
        </x:is>
      </x:c>
      <x:c r="C102" s="12" t="inlineStr">
        <x:is>
          <x:t xml:space="preserve">Required</x:t>
        </x:is>
      </x:c>
      <x:c r="D102" s="12" t="n">
        <x:v>5</x:v>
      </x:c>
      <x:c r="E102" s="12" t="inlineStr">
        <x:is>
          <x:t xml:space="preserve">Grease driveshaft (lithium chassis grease)</x:t>
        </x:is>
      </x:c>
      <x:c r="F102" s="8">
        <x:f>VLOOKUP(D102,'Cost Assumptions'!$A$5:$E$20,3,FALSE)</x:f>
        <x:v>95</x:v>
      </x:c>
      <x:c r="G102" s="12" t="str">
        <x:f>VLOOKUP(D102,'Cost Assumptions'!$A$5:$E$20,4,FALSE)</x:f>
        <x:v>https://www.yourmechanic.com/estimates/toyota/tacoma/lubricate-driveshaft
No strong current Toyota dealer menu pricing found; editable estimate.</x:v>
      </x:c>
      <x:c r="H102" s="12" t="str">
        <x:f>VLOOKUP(D102,'Cost Assumptions'!$A$5:$E$20,5,FALSE)</x:f>
        <x:v>Estimated placeholder; verify locally. Many dealers bundle this into a mileage service.</x:v>
      </x:c>
    </x:row>
    <x:row r="103" ht="36" customHeight="1">
      <x:c r="A103" s="12" t="n">
        <x:v>85</x:v>
      </x:c>
      <x:c r="B103" s="5" t="inlineStr">
        <x:is>
          <x:t xml:space="preserve">White</x:t>
        </x:is>
      </x:c>
      <x:c r="C103" s="12" t="inlineStr">
        <x:is>
          <x:t xml:space="preserve">Required</x:t>
        </x:is>
      </x:c>
      <x:c r="D103" s="12" t="n">
        <x:v>2</x:v>
      </x:c>
      <x:c r="E103" s="12" t="inlineStr">
        <x:is>
          <x:t xml:space="preserve">Tire rotation and inspect for damage</x:t>
        </x:is>
      </x:c>
      <x:c r="F103" s="8">
        <x:f>VLOOKUP(D103,'Cost Assumptions'!$A$5:$E$20,3,FALSE)</x:f>
        <x:v>30</x:v>
      </x:c>
      <x:c r="G103" s="12" t="str">
        <x:f>VLOOKUP(D103,'Cost Assumptions'!$A$5:$E$20,4,FALSE)</x:f>
        <x:v>https://www.monkentoyotamtvernon.com/service-pricing.html
https://www.toyotaofirving.com/service-menu-pricing/
https://www.toyotadm.com/cc-service-options-at-toyota-of-des-moines/</x:v>
      </x:c>
      <x:c r="H103" s="12" t="str">
        <x:f>VLOOKUP(D103,'Cost Assumptions'!$A$5:$E$20,5,FALSE)</x:f>
        <x:v>Rounded dealer rotation special / menu average.</x:v>
      </x:c>
    </x:row>
    <x:row r="104" ht="36" customHeight="1">
      <x:c r="A104" s="12" t="n">
        <x:v>85</x:v>
      </x:c>
      <x:c r="B104" s="6" t="inlineStr">
        <x:is>
          <x:t xml:space="preserve">Yellow</x:t>
        </x:is>
      </x:c>
      <x:c r="C104" s="12" t="inlineStr">
        <x:is>
          <x:t xml:space="preserve">As-needed</x:t>
        </x:is>
      </x:c>
      <x:c r="D104" s="12" t="n">
        <x:v>4</x:v>
      </x:c>
      <x:c r="E104" s="12" t="inlineStr">
        <x:is>
          <x:t xml:space="preserve">Engine intake air filter</x:t>
        </x:is>
      </x:c>
      <x:c r="F104" s="8">
        <x:f>VLOOKUP(D104,'Cost Assumptions'!$A$5:$E$20,3,FALSE)</x:f>
        <x:v>40</x:v>
      </x:c>
      <x:c r="G104" s="12" t="str">
        <x:f>VLOOKUP(D104,'Cost Assumptions'!$A$5:$E$20,4,FALSE)</x:f>
        <x:v>https://www.stcharlestoyota.net/service/service-specials/
https://www.toyotaofirving.com/service-menu-pricing/
https://www.monkentoyotamtvernon.com/service-pricing.html</x:v>
      </x:c>
      <x:c r="H104" s="12" t="str">
        <x:f>VLOOKUP(D104,'Cost Assumptions'!$A$5:$E$20,5,FALSE)</x:f>
        <x:v>Rounded from multiple dealer air-filter menu prices.</x:v>
      </x:c>
    </x:row>
    <x:row r="105" ht="36" customHeight="1">
      <x:c r="A105" s="12" t="n">
        <x:v>85</x:v>
      </x:c>
      <x:c r="B105" s="7" t="inlineStr">
        <x:is>
          <x:t xml:space="preserve">Red</x:t>
        </x:is>
      </x:c>
      <x:c r="C105" s="12" t="inlineStr">
        <x:is>
          <x:t xml:space="preserve">Required</x:t>
        </x:is>
      </x:c>
      <x:c r="D105" s="12" t="n">
        <x:v>1</x:v>
      </x:c>
      <x:c r="E105" s="12" t="inlineStr">
        <x:is>
          <x:t xml:space="preserve">Engine oil and filter</x:t>
        </x:is>
      </x:c>
      <x:c r="F105" s="8">
        <x:f>VLOOKUP(D105,'Cost Assumptions'!$A$5:$E$20,3,FALSE)</x:f>
        <x:v>90</x:v>
      </x:c>
      <x:c r="G105" s="12" t="str">
        <x:f>VLOOKUP(D105,'Cost Assumptions'!$A$5:$E$20,4,FALSE)</x:f>
        <x:v>https://www.monkentoyotamtvernon.com/service-pricing.html
https://www.stcharlestoyota.net/service/service-specials/
https://www.toyotadm.com/cc-service-options-at-toyota-of-des-moines/</x:v>
      </x:c>
      <x:c r="H105" s="12" t="str">
        <x:f>VLOOKUP(D105,'Cost Assumptions'!$A$5:$E$20,5,FALSE)</x:f>
        <x:v>Rounded dealer menu average for synthetic oil + filter.</x:v>
      </x:c>
    </x:row>
    <x:row r="106" ht="36" customHeight="1">
      <x:c r="A106" s="12" t="n">
        <x:v>85</x:v>
      </x:c>
      <x:c r="B106" s="7" t="inlineStr">
        <x:is>
          <x:t xml:space="preserve">Red</x:t>
        </x:is>
      </x:c>
      <x:c r="C106" s="12" t="inlineStr">
        <x:is>
          <x:t xml:space="preserve">Required</x:t>
        </x:is>
      </x:c>
      <x:c r="D106" s="12" t="n">
        <x:v>5</x:v>
      </x:c>
      <x:c r="E106" s="12" t="inlineStr">
        <x:is>
          <x:t xml:space="preserve">Grease driveshaft (lithium chassis grease)</x:t>
        </x:is>
      </x:c>
      <x:c r="F106" s="8">
        <x:f>VLOOKUP(D106,'Cost Assumptions'!$A$5:$E$20,3,FALSE)</x:f>
        <x:v>95</x:v>
      </x:c>
      <x:c r="G106" s="12" t="str">
        <x:f>VLOOKUP(D106,'Cost Assumptions'!$A$5:$E$20,4,FALSE)</x:f>
        <x:v>https://www.yourmechanic.com/estimates/toyota/tacoma/lubricate-driveshaft
No strong current Toyota dealer menu pricing found; editable estimate.</x:v>
      </x:c>
      <x:c r="H106" s="12" t="str">
        <x:f>VLOOKUP(D106,'Cost Assumptions'!$A$5:$E$20,5,FALSE)</x:f>
        <x:v>Estimated placeholder; verify locally. Many dealers bundle this into a mileage service.</x:v>
      </x:c>
    </x:row>
    <x:row r="107" ht="36" customHeight="1">
      <x:c r="A107" s="12" t="n">
        <x:v>90</x:v>
      </x:c>
      <x:c r="B107" s="5" t="inlineStr">
        <x:is>
          <x:t xml:space="preserve">White</x:t>
        </x:is>
      </x:c>
      <x:c r="C107" s="12" t="inlineStr">
        <x:is>
          <x:t xml:space="preserve">Required</x:t>
        </x:is>
      </x:c>
      <x:c r="D107" s="12" t="n">
        <x:v>1</x:v>
      </x:c>
      <x:c r="E107" s="12" t="inlineStr">
        <x:is>
          <x:t xml:space="preserve">Engine oil and filter</x:t>
        </x:is>
      </x:c>
      <x:c r="F107" s="8">
        <x:f>VLOOKUP(D107,'Cost Assumptions'!$A$5:$E$20,3,FALSE)</x:f>
        <x:v>90</x:v>
      </x:c>
      <x:c r="G107" s="12" t="str">
        <x:f>VLOOKUP(D107,'Cost Assumptions'!$A$5:$E$20,4,FALSE)</x:f>
        <x:v>https://www.monkentoyotamtvernon.com/service-pricing.html
https://www.stcharlestoyota.net/service/service-specials/
https://www.toyotadm.com/cc-service-options-at-toyota-of-des-moines/</x:v>
      </x:c>
      <x:c r="H107" s="12" t="str">
        <x:f>VLOOKUP(D107,'Cost Assumptions'!$A$5:$E$20,5,FALSE)</x:f>
        <x:v>Rounded dealer menu average for synthetic oil + filter.</x:v>
      </x:c>
    </x:row>
    <x:row r="108" ht="36" customHeight="1">
      <x:c r="A108" s="12" t="n">
        <x:v>90</x:v>
      </x:c>
      <x:c r="B108" s="5" t="inlineStr">
        <x:is>
          <x:t xml:space="preserve">White</x:t>
        </x:is>
      </x:c>
      <x:c r="C108" s="12" t="inlineStr">
        <x:is>
          <x:t xml:space="preserve">Required</x:t>
        </x:is>
      </x:c>
      <x:c r="D108" s="12" t="n">
        <x:v>2</x:v>
      </x:c>
      <x:c r="E108" s="12" t="inlineStr">
        <x:is>
          <x:t xml:space="preserve">Tire rotation and inspect for damage</x:t>
        </x:is>
      </x:c>
      <x:c r="F108" s="8">
        <x:f>VLOOKUP(D108,'Cost Assumptions'!$A$5:$E$20,3,FALSE)</x:f>
        <x:v>30</x:v>
      </x:c>
      <x:c r="G108" s="12" t="str">
        <x:f>VLOOKUP(D108,'Cost Assumptions'!$A$5:$E$20,4,FALSE)</x:f>
        <x:v>https://www.monkentoyotamtvernon.com/service-pricing.html
https://www.toyotaofirving.com/service-menu-pricing/
https://www.toyotadm.com/cc-service-options-at-toyota-of-des-moines/</x:v>
      </x:c>
      <x:c r="H108" s="12" t="str">
        <x:f>VLOOKUP(D108,'Cost Assumptions'!$A$5:$E$20,5,FALSE)</x:f>
        <x:v>Rounded dealer rotation special / menu average.</x:v>
      </x:c>
    </x:row>
    <x:row r="109" ht="36" customHeight="1">
      <x:c r="A109" s="12" t="n">
        <x:v>90</x:v>
      </x:c>
      <x:c r="B109" s="5" t="inlineStr">
        <x:is>
          <x:t xml:space="preserve">White</x:t>
        </x:is>
      </x:c>
      <x:c r="C109" s="12" t="inlineStr">
        <x:is>
          <x:t xml:space="preserve">Required</x:t>
        </x:is>
      </x:c>
      <x:c r="D109" s="12" t="n">
        <x:v>5</x:v>
      </x:c>
      <x:c r="E109" s="12" t="inlineStr">
        <x:is>
          <x:t xml:space="preserve">Grease driveshaft (lithium chassis grease)</x:t>
        </x:is>
      </x:c>
      <x:c r="F109" s="8">
        <x:f>VLOOKUP(D109,'Cost Assumptions'!$A$5:$E$20,3,FALSE)</x:f>
        <x:v>95</x:v>
      </x:c>
      <x:c r="G109" s="12" t="str">
        <x:f>VLOOKUP(D109,'Cost Assumptions'!$A$5:$E$20,4,FALSE)</x:f>
        <x:v>https://www.yourmechanic.com/estimates/toyota/tacoma/lubricate-driveshaft
No strong current Toyota dealer menu pricing found; editable estimate.</x:v>
      </x:c>
      <x:c r="H109" s="12" t="str">
        <x:f>VLOOKUP(D109,'Cost Assumptions'!$A$5:$E$20,5,FALSE)</x:f>
        <x:v>Estimated placeholder; verify locally. Many dealers bundle this into a mileage service.</x:v>
      </x:c>
    </x:row>
    <x:row r="110" ht="36" customHeight="1">
      <x:c r="A110" s="12" t="n">
        <x:v>90</x:v>
      </x:c>
      <x:c r="B110" s="5" t="inlineStr">
        <x:is>
          <x:t xml:space="preserve">White</x:t>
        </x:is>
      </x:c>
      <x:c r="C110" s="12" t="inlineStr">
        <x:is>
          <x:t xml:space="preserve">Required</x:t>
        </x:is>
      </x:c>
      <x:c r="D110" s="12" t="n">
        <x:v>7</x:v>
      </x:c>
      <x:c r="E110" s="12" t="inlineStr">
        <x:is>
          <x:t xml:space="preserve">Rear differential fluid (gear oil 75W-85 GL-5)</x:t>
        </x:is>
      </x:c>
      <x:c r="F110" s="8">
        <x:f>VLOOKUP(D110,'Cost Assumptions'!$A$5:$E$20,3,FALSE)</x:f>
        <x:v>160</x:v>
      </x:c>
      <x:c r="G110" s="12" t="str">
        <x:f>VLOOKUP(D110,'Cost Assumptions'!$A$5:$E$20,4,FALSE)</x:f>
        <x:v>https://www.monkentoyotamtvernon.com/service-pricing.html
https://www.manhattanbeachtoyota.com/recommended-service-pricing/</x:v>
      </x:c>
      <x:c r="H110" s="12" t="str">
        <x:f>VLOOKUP(D110,'Cost Assumptions'!$A$5:$E$20,5,FALSE)</x:f>
        <x:v>Rounded from dealer diff services listed about $160-$162.</x:v>
      </x:c>
    </x:row>
    <x:row r="111" ht="36" customHeight="1">
      <x:c r="A111" s="12" t="n">
        <x:v>90</x:v>
      </x:c>
      <x:c r="B111" s="5" t="inlineStr">
        <x:is>
          <x:t xml:space="preserve">White</x:t>
        </x:is>
      </x:c>
      <x:c r="C111" s="12" t="inlineStr">
        <x:is>
          <x:t xml:space="preserve">Required</x:t>
        </x:is>
      </x:c>
      <x:c r="D111" s="12" t="n">
        <x:v>8</x:v>
      </x:c>
      <x:c r="E111" s="12" t="inlineStr">
        <x:is>
          <x:t xml:space="preserve">Front differential fluid (gear oil 75W-85 GL-5)</x:t>
        </x:is>
      </x:c>
      <x:c r="F111" s="8">
        <x:f>VLOOKUP(D111,'Cost Assumptions'!$A$5:$E$20,3,FALSE)</x:f>
        <x:v>160</x:v>
      </x:c>
      <x:c r="G111" s="12" t="str">
        <x:f>VLOOKUP(D111,'Cost Assumptions'!$A$5:$E$20,4,FALSE)</x:f>
        <x:v>https://www.monkentoyotamtvernon.com/service-pricing.html
https://www.manhattanbeachtoyota.com/recommended-service-pricing/</x:v>
      </x:c>
      <x:c r="H111" s="12" t="str">
        <x:f>VLOOKUP(D111,'Cost Assumptions'!$A$5:$E$20,5,FALSE)</x:f>
        <x:v>Rounded from dealer diff services listed about $160-$162.</x:v>
      </x:c>
    </x:row>
    <x:row r="112" ht="36" customHeight="1">
      <x:c r="A112" s="12" t="n">
        <x:v>90</x:v>
      </x:c>
      <x:c r="B112" s="6" t="inlineStr">
        <x:is>
          <x:t xml:space="preserve">Yellow</x:t>
        </x:is>
      </x:c>
      <x:c r="C112" s="12" t="inlineStr">
        <x:is>
          <x:t xml:space="preserve">As-needed</x:t>
        </x:is>
      </x:c>
      <x:c r="D112" s="12" t="n">
        <x:v>4</x:v>
      </x:c>
      <x:c r="E112" s="12" t="inlineStr">
        <x:is>
          <x:t xml:space="preserve">Engine intake air filter</x:t>
        </x:is>
      </x:c>
      <x:c r="F112" s="8">
        <x:f>VLOOKUP(D112,'Cost Assumptions'!$A$5:$E$20,3,FALSE)</x:f>
        <x:v>40</x:v>
      </x:c>
      <x:c r="G112" s="12" t="str">
        <x:f>VLOOKUP(D112,'Cost Assumptions'!$A$5:$E$20,4,FALSE)</x:f>
        <x:v>https://www.stcharlestoyota.net/service/service-specials/
https://www.toyotaofirving.com/service-menu-pricing/
https://www.monkentoyotamtvernon.com/service-pricing.html</x:v>
      </x:c>
      <x:c r="H112" s="12" t="str">
        <x:f>VLOOKUP(D112,'Cost Assumptions'!$A$5:$E$20,5,FALSE)</x:f>
        <x:v>Rounded from multiple dealer air-filter menu prices.</x:v>
      </x:c>
    </x:row>
    <x:row r="113" ht="36" customHeight="1">
      <x:c r="A113" s="12" t="n">
        <x:v>90</x:v>
      </x:c>
      <x:c r="B113" s="6" t="inlineStr">
        <x:is>
          <x:t xml:space="preserve">Yellow</x:t>
        </x:is>
      </x:c>
      <x:c r="C113" s="12" t="inlineStr">
        <x:is>
          <x:t xml:space="preserve">As-needed</x:t>
        </x:is>
      </x:c>
      <x:c r="D113" s="12" t="n">
        <x:v>14</x:v>
      </x:c>
      <x:c r="E113" s="12" t="inlineStr">
        <x:is>
          <x:t xml:space="preserve">Front brake pads</x:t>
        </x:is>
      </x:c>
      <x:c r="F113" s="8">
        <x:f>VLOOKUP(D113,'Cost Assumptions'!$A$5:$E$20,3,FALSE)</x:f>
        <x:v>300</x:v>
      </x:c>
      <x:c r="G113" s="12" t="str">
        <x:f>VLOOKUP(D113,'Cost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113" s="12" t="str">
        <x:f>VLOOKUP(D113,'Cost Assumptions'!$A$5:$E$20,5,FALSE)</x:f>
        <x:v>Rounded from dealer front/rear pad replacement menus and Toyota brake ranges.</x:v>
      </x:c>
    </x:row>
    <x:row r="114" ht="36" customHeight="1">
      <x:c r="A114" s="12" t="n">
        <x:v>90</x:v>
      </x:c>
      <x:c r="B114" s="7" t="inlineStr">
        <x:is>
          <x:t xml:space="preserve">Red</x:t>
        </x:is>
      </x:c>
      <x:c r="C114" s="12" t="inlineStr">
        <x:is>
          <x:t xml:space="preserve">Required</x:t>
        </x:is>
      </x:c>
      <x:c r="D114" s="12" t="n">
        <x:v>6</x:v>
      </x:c>
      <x:c r="E114" s="12" t="inlineStr">
        <x:is>
          <x:t xml:space="preserve">Transfer case oil (gear oil LF 75W)</x:t>
        </x:is>
      </x:c>
      <x:c r="F114" s="8">
        <x:f>VLOOKUP(D114,'Cost Assumptions'!$A$5:$E$20,3,FALSE)</x:f>
        <x:v>185</x:v>
      </x:c>
      <x:c r="G114" s="12" t="str">
        <x:f>VLOOKUP(D114,'Cost Assumptions'!$A$5:$E$20,4,FALSE)</x:f>
        <x:v>https://www.monkentoyotamtvernon.com/service-pricing.html
https://www.elmhursttoyota.com/rear-differential-coupon/</x:v>
      </x:c>
      <x:c r="H114" s="12" t="str">
        <x:f>VLOOKUP(D114,'Cost Assumptions'!$A$5:$E$20,5,FALSE)</x:f>
        <x:v>Rounded from dealer transfer-case services listed around $173-$200.</x:v>
      </x:c>
    </x:row>
    <x:row r="115" ht="36" customHeight="1">
      <x:c r="A115" s="12" t="n">
        <x:v>95</x:v>
      </x:c>
      <x:c r="B115" s="5" t="inlineStr">
        <x:is>
          <x:t xml:space="preserve">White</x:t>
        </x:is>
      </x:c>
      <x:c r="C115" s="12" t="inlineStr">
        <x:is>
          <x:t xml:space="preserve">Required</x:t>
        </x:is>
      </x:c>
      <x:c r="D115" s="12" t="n">
        <x:v>2</x:v>
      </x:c>
      <x:c r="E115" s="12" t="inlineStr">
        <x:is>
          <x:t xml:space="preserve">Tire rotation and inspect for damage</x:t>
        </x:is>
      </x:c>
      <x:c r="F115" s="8">
        <x:f>VLOOKUP(D115,'Cost Assumptions'!$A$5:$E$20,3,FALSE)</x:f>
        <x:v>30</x:v>
      </x:c>
      <x:c r="G115" s="12" t="str">
        <x:f>VLOOKUP(D115,'Cost Assumptions'!$A$5:$E$20,4,FALSE)</x:f>
        <x:v>https://www.monkentoyotamtvernon.com/service-pricing.html
https://www.toyotaofirving.com/service-menu-pricing/
https://www.toyotadm.com/cc-service-options-at-toyota-of-des-moines/</x:v>
      </x:c>
      <x:c r="H115" s="12" t="str">
        <x:f>VLOOKUP(D115,'Cost Assumptions'!$A$5:$E$20,5,FALSE)</x:f>
        <x:v>Rounded dealer rotation special / menu average.</x:v>
      </x:c>
    </x:row>
    <x:row r="116" ht="36" customHeight="1">
      <x:c r="A116" s="12" t="n">
        <x:v>95</x:v>
      </x:c>
      <x:c r="B116" s="6" t="inlineStr">
        <x:is>
          <x:t xml:space="preserve">Yellow</x:t>
        </x:is>
      </x:c>
      <x:c r="C116" s="12" t="inlineStr">
        <x:is>
          <x:t xml:space="preserve">As-needed</x:t>
        </x:is>
      </x:c>
      <x:c r="D116" s="12" t="n">
        <x:v>4</x:v>
      </x:c>
      <x:c r="E116" s="12" t="inlineStr">
        <x:is>
          <x:t xml:space="preserve">Engine intake air filter</x:t>
        </x:is>
      </x:c>
      <x:c r="F116" s="8">
        <x:f>VLOOKUP(D116,'Cost Assumptions'!$A$5:$E$20,3,FALSE)</x:f>
        <x:v>40</x:v>
      </x:c>
      <x:c r="G116" s="12" t="str">
        <x:f>VLOOKUP(D116,'Cost Assumptions'!$A$5:$E$20,4,FALSE)</x:f>
        <x:v>https://www.stcharlestoyota.net/service/service-specials/
https://www.toyotaofirving.com/service-menu-pricing/
https://www.monkentoyotamtvernon.com/service-pricing.html</x:v>
      </x:c>
      <x:c r="H116" s="12" t="str">
        <x:f>VLOOKUP(D116,'Cost Assumptions'!$A$5:$E$20,5,FALSE)</x:f>
        <x:v>Rounded from multiple dealer air-filter menu prices.</x:v>
      </x:c>
    </x:row>
    <x:row r="117" ht="36" customHeight="1">
      <x:c r="A117" s="12" t="n">
        <x:v>95</x:v>
      </x:c>
      <x:c r="B117" s="7" t="inlineStr">
        <x:is>
          <x:t xml:space="preserve">Red</x:t>
        </x:is>
      </x:c>
      <x:c r="C117" s="12" t="inlineStr">
        <x:is>
          <x:t xml:space="preserve">Required</x:t>
        </x:is>
      </x:c>
      <x:c r="D117" s="12" t="n">
        <x:v>1</x:v>
      </x:c>
      <x:c r="E117" s="12" t="inlineStr">
        <x:is>
          <x:t xml:space="preserve">Engine oil and filter</x:t>
        </x:is>
      </x:c>
      <x:c r="F117" s="8">
        <x:f>VLOOKUP(D117,'Cost Assumptions'!$A$5:$E$20,3,FALSE)</x:f>
        <x:v>90</x:v>
      </x:c>
      <x:c r="G117" s="12" t="str">
        <x:f>VLOOKUP(D117,'Cost Assumptions'!$A$5:$E$20,4,FALSE)</x:f>
        <x:v>https://www.monkentoyotamtvernon.com/service-pricing.html
https://www.stcharlestoyota.net/service/service-specials/
https://www.toyotadm.com/cc-service-options-at-toyota-of-des-moines/</x:v>
      </x:c>
      <x:c r="H117" s="12" t="str">
        <x:f>VLOOKUP(D117,'Cost Assumptions'!$A$5:$E$20,5,FALSE)</x:f>
        <x:v>Rounded dealer menu average for synthetic oil + filter.</x:v>
      </x:c>
    </x:row>
    <x:row r="118" ht="36" customHeight="1">
      <x:c r="A118" s="12" t="n">
        <x:v>95</x:v>
      </x:c>
      <x:c r="B118" s="7" t="inlineStr">
        <x:is>
          <x:t xml:space="preserve">Red</x:t>
        </x:is>
      </x:c>
      <x:c r="C118" s="12" t="inlineStr">
        <x:is>
          <x:t xml:space="preserve">Required</x:t>
        </x:is>
      </x:c>
      <x:c r="D118" s="12" t="n">
        <x:v>5</x:v>
      </x:c>
      <x:c r="E118" s="12" t="inlineStr">
        <x:is>
          <x:t xml:space="preserve">Grease driveshaft (lithium chassis grease)</x:t>
        </x:is>
      </x:c>
      <x:c r="F118" s="8">
        <x:f>VLOOKUP(D118,'Cost Assumptions'!$A$5:$E$20,3,FALSE)</x:f>
        <x:v>95</x:v>
      </x:c>
      <x:c r="G118" s="12" t="str">
        <x:f>VLOOKUP(D118,'Cost Assumptions'!$A$5:$E$20,4,FALSE)</x:f>
        <x:v>https://www.yourmechanic.com/estimates/toyota/tacoma/lubricate-driveshaft
No strong current Toyota dealer menu pricing found; editable estimate.</x:v>
      </x:c>
      <x:c r="H118" s="12" t="str">
        <x:f>VLOOKUP(D118,'Cost Assumptions'!$A$5:$E$20,5,FALSE)</x:f>
        <x:v>Estimated placeholder; verify locally. Many dealers bundle this into a mileage service.</x:v>
      </x:c>
    </x:row>
    <x:row r="119" ht="36" customHeight="1">
      <x:c r="A119" s="12" t="n">
        <x:v>100</x:v>
      </x:c>
      <x:c r="B119" s="5" t="inlineStr">
        <x:is>
          <x:t xml:space="preserve">White</x:t>
        </x:is>
      </x:c>
      <x:c r="C119" s="12" t="inlineStr">
        <x:is>
          <x:t xml:space="preserve">Required</x:t>
        </x:is>
      </x:c>
      <x:c r="D119" s="12" t="n">
        <x:v>1</x:v>
      </x:c>
      <x:c r="E119" s="12" t="inlineStr">
        <x:is>
          <x:t xml:space="preserve">Engine oil and filter</x:t>
        </x:is>
      </x:c>
      <x:c r="F119" s="8">
        <x:f>VLOOKUP(D119,'Cost Assumptions'!$A$5:$E$20,3,FALSE)</x:f>
        <x:v>90</x:v>
      </x:c>
      <x:c r="G119" s="12" t="str">
        <x:f>VLOOKUP(D119,'Cost Assumptions'!$A$5:$E$20,4,FALSE)</x:f>
        <x:v>https://www.monkentoyotamtvernon.com/service-pricing.html
https://www.stcharlestoyota.net/service/service-specials/
https://www.toyotadm.com/cc-service-options-at-toyota-of-des-moines/</x:v>
      </x:c>
      <x:c r="H119" s="12" t="str">
        <x:f>VLOOKUP(D119,'Cost Assumptions'!$A$5:$E$20,5,FALSE)</x:f>
        <x:v>Rounded dealer menu average for synthetic oil + filter.</x:v>
      </x:c>
    </x:row>
    <x:row r="120" ht="36" customHeight="1">
      <x:c r="A120" s="12" t="n">
        <x:v>100</x:v>
      </x:c>
      <x:c r="B120" s="5" t="inlineStr">
        <x:is>
          <x:t xml:space="preserve">White</x:t>
        </x:is>
      </x:c>
      <x:c r="C120" s="12" t="inlineStr">
        <x:is>
          <x:t xml:space="preserve">Required</x:t>
        </x:is>
      </x:c>
      <x:c r="D120" s="12" t="n">
        <x:v>2</x:v>
      </x:c>
      <x:c r="E120" s="12" t="inlineStr">
        <x:is>
          <x:t xml:space="preserve">Tire rotation and inspect for damage</x:t>
        </x:is>
      </x:c>
      <x:c r="F120" s="8">
        <x:f>VLOOKUP(D120,'Cost Assumptions'!$A$5:$E$20,3,FALSE)</x:f>
        <x:v>30</x:v>
      </x:c>
      <x:c r="G120" s="12" t="str">
        <x:f>VLOOKUP(D120,'Cost Assumptions'!$A$5:$E$20,4,FALSE)</x:f>
        <x:v>https://www.monkentoyotamtvernon.com/service-pricing.html
https://www.toyotaofirving.com/service-menu-pricing/
https://www.toyotadm.com/cc-service-options-at-toyota-of-des-moines/</x:v>
      </x:c>
      <x:c r="H120" s="12" t="str">
        <x:f>VLOOKUP(D120,'Cost Assumptions'!$A$5:$E$20,5,FALSE)</x:f>
        <x:v>Rounded dealer rotation special / menu average.</x:v>
      </x:c>
    </x:row>
    <x:row r="121" ht="36" customHeight="1">
      <x:c r="A121" s="12" t="n">
        <x:v>100</x:v>
      </x:c>
      <x:c r="B121" s="5" t="inlineStr">
        <x:is>
          <x:t xml:space="preserve">White</x:t>
        </x:is>
      </x:c>
      <x:c r="C121" s="12" t="inlineStr">
        <x:is>
          <x:t xml:space="preserve">Required</x:t>
        </x:is>
      </x:c>
      <x:c r="D121" s="12" t="n">
        <x:v>3</x:v>
      </x:c>
      <x:c r="E121" s="12" t="inlineStr">
        <x:is>
          <x:t xml:space="preserve">Cabin air filter</x:t>
        </x:is>
      </x:c>
      <x:c r="F121" s="8">
        <x:f>VLOOKUP(D121,'Cost Assumptions'!$A$5:$E$20,3,FALSE)</x:f>
        <x:v>70</x:v>
      </x:c>
      <x:c r="G121" s="12" t="str">
        <x:f>VLOOKUP(D121,'Cost Assumptions'!$A$5:$E$20,4,FALSE)</x:f>
        <x:v>https://www.earlstewarttoyota.com/service/services-pricing/
https://www.toyotaofirving.com/service-menu-pricing/
https://www.toyotacarson.com/service/service-specials/</x:v>
      </x:c>
      <x:c r="H121" s="12" t="str">
        <x:f>VLOOKUP(D121,'Cost Assumptions'!$A$5:$E$20,5,FALSE)</x:f>
        <x:v>Rounded from multiple dealer filter replacement offers.</x:v>
      </x:c>
    </x:row>
    <x:row r="122" ht="36" customHeight="1">
      <x:c r="A122" s="12" t="n">
        <x:v>100</x:v>
      </x:c>
      <x:c r="B122" s="5" t="inlineStr">
        <x:is>
          <x:t xml:space="preserve">White</x:t>
        </x:is>
      </x:c>
      <x:c r="C122" s="12" t="inlineStr">
        <x:is>
          <x:t xml:space="preserve">Required</x:t>
        </x:is>
      </x:c>
      <x:c r="D122" s="12" t="n">
        <x:v>10</x:v>
      </x:c>
      <x:c r="E122" s="12" t="inlineStr">
        <x:is>
          <x:t xml:space="preserve">Power steering fluid (Dexron II or III)</x:t>
        </x:is>
      </x:c>
      <x:c r="F122" s="8">
        <x:f>VLOOKUP(D122,'Cost Assumptions'!$A$5:$E$20,3,FALSE)</x:f>
        <x:v>185</x:v>
      </x:c>
      <x:c r="G122" s="12" t="str">
        <x:f>VLOOKUP(D122,'Cost Assumptions'!$A$5:$E$20,4,FALSE)</x:f>
        <x:v>https://www.toyotaofirving.com/service-menu-pricing/
https://www.manhattanbeachtoyota.com/recommended-service-pricing/
https://www.toyotaofgreenville.com/service/power-steering-fluid.htm</x:v>
      </x:c>
      <x:c r="H122" s="12" t="str">
        <x:f>VLOOKUP(D122,'Cost Assumptions'!$A$5:$E$20,5,FALSE)</x:f>
        <x:v>Rounded from dealer power-steering fluid exchange menus.</x:v>
      </x:c>
    </x:row>
    <x:row r="123" ht="36" customHeight="1">
      <x:c r="A123" s="12" t="n">
        <x:v>100</x:v>
      </x:c>
      <x:c r="B123" s="5" t="inlineStr">
        <x:is>
          <x:t xml:space="preserve">White</x:t>
        </x:is>
      </x:c>
      <x:c r="C123" s="12" t="inlineStr">
        <x:is>
          <x:t xml:space="preserve">Required</x:t>
        </x:is>
      </x:c>
      <x:c r="D123" s="12" t="n">
        <x:v>11</x:v>
      </x:c>
      <x:c r="E123" s="12" t="inlineStr">
        <x:is>
          <x:t xml:space="preserve">Engine coolant (Toyota SLLC)</x:t>
        </x:is>
      </x:c>
      <x:c r="F123" s="8">
        <x:f>VLOOKUP(D123,'Cost Assumptions'!$A$5:$E$20,3,FALSE)</x:f>
        <x:v>195</x:v>
      </x:c>
      <x:c r="G123" s="12" t="str">
        <x:f>VLOOKUP(D123,'Cost Assumptions'!$A$5:$E$20,4,FALSE)</x:f>
        <x:v>https://www.toyotaofirving.com/service-menu-pricing/
https://www.manhattanbeachtoyota.com/recommended-service-pricing/
https://www.maticktoyota.com/service-menu.html</x:v>
      </x:c>
      <x:c r="H123" s="12" t="str">
        <x:f>VLOOKUP(D123,'Cost Assumptions'!$A$5:$E$20,5,FALSE)</x:f>
        <x:v>Rounded from dealer coolant exchange menus.</x:v>
      </x:c>
    </x:row>
    <x:row r="124" ht="36" customHeight="1">
      <x:c r="A124" s="12" t="n">
        <x:v>100</x:v>
      </x:c>
      <x:c r="B124" s="5" t="inlineStr">
        <x:is>
          <x:t xml:space="preserve">White</x:t>
        </x:is>
      </x:c>
      <x:c r="C124" s="12" t="inlineStr">
        <x:is>
          <x:t xml:space="preserve">Required</x:t>
        </x:is>
      </x:c>
      <x:c r="D124" s="12" t="n">
        <x:v>12</x:v>
      </x:c>
      <x:c r="E124" s="12" t="inlineStr">
        <x:is>
          <x:t xml:space="preserve">Transmission fluid (Toyota ATF WS / manual-specific)</x:t>
        </x:is>
      </x:c>
      <x:c r="F124" s="8">
        <x:f>VLOOKUP(D124,'Cost Assumptions'!$A$5:$E$20,3,FALSE)</x:f>
        <x:v>340</x:v>
      </x:c>
      <x:c r="G124" s="12" t="str">
        <x:f>VLOOKUP(D124,'Cost Assumptions'!$A$5:$E$20,4,FALSE)</x:f>
        <x:v>https://www.toyotaofirving.com/service-menu-pricing/
https://www.manhattanbeachtoyota.com/recommended-service-pricing/
https://www.maticktoyota.com/service-menu.html</x:v>
      </x:c>
      <x:c r="H124" s="12" t="str">
        <x:f>VLOOKUP(D124,'Cost Assumptions'!$A$5:$E$20,5,FALSE)</x:f>
        <x:v>Rounded from dealer WS transmission fluid exchange menus.</x:v>
      </x:c>
    </x:row>
    <x:row r="125" ht="36" customHeight="1">
      <x:c r="A125" s="12" t="n">
        <x:v>100</x:v>
      </x:c>
      <x:c r="B125" s="5" t="inlineStr">
        <x:is>
          <x:t xml:space="preserve">White</x:t>
        </x:is>
      </x:c>
      <x:c r="C125" s="12" t="inlineStr">
        <x:is>
          <x:t xml:space="preserve">Required</x:t>
        </x:is>
      </x:c>
      <x:c r="D125" s="12" t="n">
        <x:v>15</x:v>
      </x:c>
      <x:c r="E125" s="12" t="inlineStr">
        <x:is>
          <x:t xml:space="preserve">Serpentine belt</x:t>
        </x:is>
      </x:c>
      <x:c r="F125" s="8">
        <x:f>VLOOKUP(D125,'Cost Assumptions'!$A$5:$E$20,3,FALSE)</x:f>
        <x:v>150</x:v>
      </x:c>
      <x:c r="G125" s="12" t="str">
        <x:f>VLOOKUP(D125,'Cost Assumptions'!$A$5:$E$20,4,FALSE)</x:f>
        <x:v>https://repairpal.com/estimator/toyota/tacoma/serpentine-belt-replacement-cost</x:v>
      </x:c>
      <x:c r="H125" s="12" t="str">
        <x:f>VLOOKUP(D125,'Cost Assumptions'!$A$5:$E$20,5,FALSE)</x:f>
        <x:v>Rounded Tacoma replacement estimate.</x:v>
      </x:c>
    </x:row>
    <x:row r="126" ht="36" customHeight="1">
      <x:c r="A126" s="12" t="n">
        <x:v>100</x:v>
      </x:c>
      <x:c r="B126" s="6" t="inlineStr">
        <x:is>
          <x:t xml:space="preserve">Yellow</x:t>
        </x:is>
      </x:c>
      <x:c r="C126" s="12" t="inlineStr">
        <x:is>
          <x:t xml:space="preserve">As-needed</x:t>
        </x:is>
      </x:c>
      <x:c r="D126" s="12" t="n">
        <x:v>4</x:v>
      </x:c>
      <x:c r="E126" s="12" t="inlineStr">
        <x:is>
          <x:t xml:space="preserve">Engine intake air filter</x:t>
        </x:is>
      </x:c>
      <x:c r="F126" s="8">
        <x:f>VLOOKUP(D126,'Cost Assumptions'!$A$5:$E$20,3,FALSE)</x:f>
        <x:v>40</x:v>
      </x:c>
      <x:c r="G126" s="12" t="str">
        <x:f>VLOOKUP(D126,'Cost Assumptions'!$A$5:$E$20,4,FALSE)</x:f>
        <x:v>https://www.stcharlestoyota.net/service/service-specials/
https://www.toyotaofirving.com/service-menu-pricing/
https://www.monkentoyotamtvernon.com/service-pricing.html</x:v>
      </x:c>
      <x:c r="H126" s="12" t="str">
        <x:f>VLOOKUP(D126,'Cost Assumptions'!$A$5:$E$20,5,FALSE)</x:f>
        <x:v>Rounded from multiple dealer air-filter menu prices.</x:v>
      </x:c>
    </x:row>
    <x:row r="127" ht="36" customHeight="1">
      <x:c r="A127" s="12" t="n">
        <x:v>100</x:v>
      </x:c>
      <x:c r="B127" s="6" t="inlineStr">
        <x:is>
          <x:t xml:space="preserve">Yellow</x:t>
        </x:is>
      </x:c>
      <x:c r="C127" s="12" t="inlineStr">
        <x:is>
          <x:t xml:space="preserve">As-needed</x:t>
        </x:is>
      </x:c>
      <x:c r="D127" s="12" t="n">
        <x:v>13</x:v>
      </x:c>
      <x:c r="E127" s="12" t="inlineStr">
        <x:is>
          <x:t xml:space="preserve">Rear brake shoes</x:t>
        </x:is>
      </x:c>
      <x:c r="F127" s="8">
        <x:f>VLOOKUP(D127,'Cost Assumptions'!$A$5:$E$20,3,FALSE)</x:f>
        <x:v>360</x:v>
      </x:c>
      <x:c r="G127" s="12" t="str">
        <x:f>VLOOKUP(D127,'Cost Assumptions'!$A$5:$E$20,4,FALSE)</x:f>
        <x:v>https://repairpal.com/estimator/brake-shoes-replacement-cost
https://repairpal.com/estimator/toyota/pickup/brake-shoes-replacement-cost
Dealer menus were sparse; editable estimate.</x:v>
      </x:c>
      <x:c r="H127" s="12" t="str">
        <x:f>VLOOKUP(D127,'Cost Assumptions'!$A$5:$E$20,5,FALSE)</x:f>
        <x:v>Sparse dealer menu data; editable estimate based on published replacement ranges.</x:v>
      </x:c>
    </x:row>
    <x:row r="128" ht="36" customHeight="1">
      <x:c r="A128" s="12" t="n">
        <x:v>100</x:v>
      </x:c>
      <x:c r="B128" s="6" t="inlineStr">
        <x:is>
          <x:t xml:space="preserve">Yellow</x:t>
        </x:is>
      </x:c>
      <x:c r="C128" s="12" t="inlineStr">
        <x:is>
          <x:t xml:space="preserve">As-needed</x:t>
        </x:is>
      </x:c>
      <x:c r="D128" s="12" t="n">
        <x:v>14</x:v>
      </x:c>
      <x:c r="E128" s="12" t="inlineStr">
        <x:is>
          <x:t xml:space="preserve">Front brake pads</x:t>
        </x:is>
      </x:c>
      <x:c r="F128" s="8">
        <x:f>VLOOKUP(D128,'Cost Assumptions'!$A$5:$E$20,3,FALSE)</x:f>
        <x:v>300</x:v>
      </x:c>
      <x:c r="G128" s="12" t="str">
        <x:f>VLOOKUP(D128,'Cost Assumptions'!$A$5:$E$20,4,FALSE)</x:f>
        <x:v>https://www.leadcartoyotamankato.com/toyota-brakes-and-service-repair.html
https://www.courtesytoyota.com/toyota-brake-pads.htm
https://www.stonecresttoyota.com/toyota-brake-specials.htm</x:v>
      </x:c>
      <x:c r="H128" s="12" t="str">
        <x:f>VLOOKUP(D128,'Cost Assumptions'!$A$5:$E$20,5,FALSE)</x:f>
        <x:v>Rounded from dealer front/rear pad replacement menus and Toyota brake ranges.</x:v>
      </x:c>
    </x:row>
    <x:row r="129" ht="36" customHeight="1">
      <x:c r="A129" s="12" t="n">
        <x:v>100</x:v>
      </x:c>
      <x:c r="B129" s="6" t="inlineStr">
        <x:is>
          <x:t xml:space="preserve">Yellow</x:t>
        </x:is>
      </x:c>
      <x:c r="C129" s="12" t="inlineStr">
        <x:is>
          <x:t xml:space="preserve">As-needed</x:t>
        </x:is>
      </x:c>
      <x:c r="D129" s="12" t="n">
        <x:v>16</x:v>
      </x:c>
      <x:c r="E129" s="12" t="inlineStr">
        <x:is>
          <x:t xml:space="preserve">Brake fluid</x:t>
        </x:is>
      </x:c>
      <x:c r="F129" s="8">
        <x:f>VLOOKUP(D129,'Cost Assumptions'!$A$5:$E$20,3,FALSE)</x:f>
        <x:v>185</x:v>
      </x:c>
      <x:c r="G129" s="12" t="str">
        <x:f>VLOOKUP(D129,'Cost Assumptions'!$A$5:$E$20,4,FALSE)</x:f>
        <x:v>https://www.monkentoyotamtvernon.com/service-pricing.html
https://www.toyotaofirving.com/service-menu-pricing/
https://www.maticktoyota.com/service-menu.html</x:v>
      </x:c>
      <x:c r="H129" s="12" t="str">
        <x:f>VLOOKUP(D129,'Cost Assumptions'!$A$5:$E$20,5,FALSE)</x:f>
        <x:v>Rounded from dealer brake-fluid exchange menus.</x:v>
      </x:c>
    </x:row>
    <x:row r="130" ht="36" customHeight="1">
      <x:c r="A130" s="12" t="n">
        <x:v>100</x:v>
      </x:c>
      <x:c r="B130" s="7" t="inlineStr">
        <x:is>
          <x:t xml:space="preserve">Red</x:t>
        </x:is>
      </x:c>
      <x:c r="C130" s="12" t="inlineStr">
        <x:is>
          <x:t xml:space="preserve">Required</x:t>
        </x:is>
      </x:c>
      <x:c r="D130" s="12" t="n">
        <x:v>5</x:v>
      </x:c>
      <x:c r="E130" s="12" t="inlineStr">
        <x:is>
          <x:t xml:space="preserve">Grease driveshaft (lithium chassis grease)</x:t>
        </x:is>
      </x:c>
      <x:c r="F130" s="8">
        <x:f>VLOOKUP(D130,'Cost Assumptions'!$A$5:$E$20,3,FALSE)</x:f>
        <x:v>95</x:v>
      </x:c>
      <x:c r="G130" s="12" t="str">
        <x:f>VLOOKUP(D130,'Cost Assumptions'!$A$5:$E$20,4,FALSE)</x:f>
        <x:v>https://www.yourmechanic.com/estimates/toyota/tacoma/lubricate-driveshaft
No strong current Toyota dealer menu pricing found; editable estimate.</x:v>
      </x:c>
      <x:c r="H130" s="12" t="str">
        <x:f>VLOOKUP(D130,'Cost Assumptions'!$A$5:$E$20,5,FALSE)</x:f>
        <x:v>Estimated placeholder; verify locally. Many dealers bundle this into a mileage service.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2" customWidth="1"/>
    <x:col min="3" max="3" width="18" customWidth="1"/>
    <x:col min="4" max="4" width="52" customWidth="1"/>
    <x:col min="5" max="5" width="46" customWidth="1"/>
  </x:cols>
  <x:sheetData>
    <x:row r="1">
      <x:c r="A1" s="11" t="inlineStr">
        <x:is>
          <x:t xml:space="preserve">Editable cost assumptions</x:t>
        </x:is>
      </x:c>
    </x:row>
    <x:row r="2">
      <x:c r="A2" s="2" t="inlineStr">
        <x:is>
          <x:t xml:space="preserve">Blue cost cells are hardcoded assumptions you can edit; all summary totals update automatically.</x:t>
        </x:is>
      </x:c>
    </x:row>
    <x:row r="4" ht="28" customHeight="1">
      <x:c r="A4" s="3" t="inlineStr">
        <x:is>
          <x:t xml:space="preserve">Service ID</x:t>
        </x:is>
      </x:c>
      <x:c r="B4" s="3" t="inlineStr">
        <x:is>
          <x:t xml:space="preserve">Maintenance item</x:t>
        </x:is>
      </x:c>
      <x:c r="C4" s="3" t="inlineStr">
        <x:is>
          <x:t xml:space="preserve">Estimated dealer cost</x:t>
        </x:is>
      </x:c>
      <x:c r="D4" s="3" t="inlineStr">
        <x:is>
          <x:t xml:space="preserve">Source URL(s)</x:t>
        </x:is>
      </x:c>
      <x:c r="E4" s="3" t="inlineStr">
        <x:is>
          <x:t xml:space="preserve">Assumption note</x:t>
        </x:is>
      </x:c>
    </x:row>
    <x:row r="5" ht="36" customHeight="1">
      <x:c r="A5" s="12" t="n">
        <x:v>1</x:v>
      </x:c>
      <x:c r="B5" s="12" t="inlineStr">
        <x:is>
          <x:t xml:space="preserve">Engine oil and filter</x:t>
        </x:is>
      </x:c>
      <x:c r="C5" s="13" t="n">
        <x:v>90</x:v>
      </x:c>
      <x:c r="D5" s="12" t="inlineStr">
        <x:is>
          <x:t xml:space="preserve">https://www.monkentoyotamtvernon.com/service-pricing.html
https://www.stcharlestoyota.net/service/service-specials/
https://www.toyotadm.com/cc-service-options-at-toyota-of-des-moines/</x:t>
        </x:is>
      </x:c>
      <x:c r="E5" s="12" t="inlineStr">
        <x:is>
          <x:t xml:space="preserve">Rounded dealer menu average for synthetic oil + filter.</x:t>
        </x:is>
      </x:c>
    </x:row>
    <x:row r="6" ht="36" customHeight="1">
      <x:c r="A6" s="12" t="n">
        <x:v>2</x:v>
      </x:c>
      <x:c r="B6" s="12" t="inlineStr">
        <x:is>
          <x:t xml:space="preserve">Tire rotation and inspect for damage</x:t>
        </x:is>
      </x:c>
      <x:c r="C6" s="13" t="n">
        <x:v>30</x:v>
      </x:c>
      <x:c r="D6" s="12" t="inlineStr">
        <x:is>
          <x:t xml:space="preserve">https://www.monkentoyotamtvernon.com/service-pricing.html
https://www.toyotaofirving.com/service-menu-pricing/
https://www.toyotadm.com/cc-service-options-at-toyota-of-des-moines/</x:t>
        </x:is>
      </x:c>
      <x:c r="E6" s="12" t="inlineStr">
        <x:is>
          <x:t xml:space="preserve">Rounded dealer rotation special / menu average.</x:t>
        </x:is>
      </x:c>
    </x:row>
    <x:row r="7" ht="36" customHeight="1">
      <x:c r="A7" s="12" t="n">
        <x:v>3</x:v>
      </x:c>
      <x:c r="B7" s="12" t="inlineStr">
        <x:is>
          <x:t xml:space="preserve">Cabin air filter</x:t>
        </x:is>
      </x:c>
      <x:c r="C7" s="13" t="n">
        <x:v>70</x:v>
      </x:c>
      <x:c r="D7" s="12" t="inlineStr">
        <x:is>
          <x:t xml:space="preserve">https://www.earlstewarttoyota.com/service/services-pricing/
https://www.toyotaofirving.com/service-menu-pricing/
https://www.toyotacarson.com/service/service-specials/</x:t>
        </x:is>
      </x:c>
      <x:c r="E7" s="12" t="inlineStr">
        <x:is>
          <x:t xml:space="preserve">Rounded from multiple dealer filter replacement offers.</x:t>
        </x:is>
      </x:c>
    </x:row>
    <x:row r="8" ht="36" customHeight="1">
      <x:c r="A8" s="12" t="n">
        <x:v>4</x:v>
      </x:c>
      <x:c r="B8" s="12" t="inlineStr">
        <x:is>
          <x:t xml:space="preserve">Engine intake air filter</x:t>
        </x:is>
      </x:c>
      <x:c r="C8" s="13" t="n">
        <x:v>40</x:v>
      </x:c>
      <x:c r="D8" s="12" t="inlineStr">
        <x:is>
          <x:t xml:space="preserve">https://www.stcharlestoyota.net/service/service-specials/
https://www.toyotaofirving.com/service-menu-pricing/
https://www.monkentoyotamtvernon.com/service-pricing.html</x:t>
        </x:is>
      </x:c>
      <x:c r="E8" s="12" t="inlineStr">
        <x:is>
          <x:t xml:space="preserve">Rounded from multiple dealer air-filter menu prices.</x:t>
        </x:is>
      </x:c>
    </x:row>
    <x:row r="9" ht="36" customHeight="1">
      <x:c r="A9" s="12" t="n">
        <x:v>5</x:v>
      </x:c>
      <x:c r="B9" s="12" t="inlineStr">
        <x:is>
          <x:t xml:space="preserve">Grease driveshaft (lithium chassis grease)</x:t>
        </x:is>
      </x:c>
      <x:c r="C9" s="13" t="n">
        <x:v>95</x:v>
      </x:c>
      <x:c r="D9" s="12" t="inlineStr">
        <x:is>
          <x:t xml:space="preserve">https://www.yourmechanic.com/estimates/toyota/tacoma/lubricate-driveshaft
No strong current Toyota dealer menu pricing found; editable estimate.</x:t>
        </x:is>
      </x:c>
      <x:c r="E9" s="12" t="inlineStr">
        <x:is>
          <x:t xml:space="preserve">Estimated placeholder; verify locally. Many dealers bundle this into a mileage service.</x:t>
        </x:is>
      </x:c>
    </x:row>
    <x:row r="10" ht="36" customHeight="1">
      <x:c r="A10" s="12" t="n">
        <x:v>6</x:v>
      </x:c>
      <x:c r="B10" s="12" t="inlineStr">
        <x:is>
          <x:t xml:space="preserve">Transfer case oil (gear oil LF 75W)</x:t>
        </x:is>
      </x:c>
      <x:c r="C10" s="13" t="n">
        <x:v>185</x:v>
      </x:c>
      <x:c r="D10" s="12" t="inlineStr">
        <x:is>
          <x:t xml:space="preserve">https://www.monkentoyotamtvernon.com/service-pricing.html
https://www.elmhursttoyota.com/rear-differential-coupon/</x:t>
        </x:is>
      </x:c>
      <x:c r="E10" s="12" t="inlineStr">
        <x:is>
          <x:t xml:space="preserve">Rounded from dealer transfer-case services listed around $173-$200.</x:t>
        </x:is>
      </x:c>
    </x:row>
    <x:row r="11" ht="36" customHeight="1">
      <x:c r="A11" s="12" t="n">
        <x:v>7</x:v>
      </x:c>
      <x:c r="B11" s="12" t="inlineStr">
        <x:is>
          <x:t xml:space="preserve">Rear differential fluid (gear oil 75W-85 GL-5)</x:t>
        </x:is>
      </x:c>
      <x:c r="C11" s="13" t="n">
        <x:v>160</x:v>
      </x:c>
      <x:c r="D11" s="12" t="inlineStr">
        <x:is>
          <x:t xml:space="preserve">https://www.monkentoyotamtvernon.com/service-pricing.html
https://www.manhattanbeachtoyota.com/recommended-service-pricing/</x:t>
        </x:is>
      </x:c>
      <x:c r="E11" s="12" t="inlineStr">
        <x:is>
          <x:t xml:space="preserve">Rounded from dealer diff services listed about $160-$162.</x:t>
        </x:is>
      </x:c>
    </x:row>
    <x:row r="12" ht="36" customHeight="1">
      <x:c r="A12" s="12" t="n">
        <x:v>8</x:v>
      </x:c>
      <x:c r="B12" s="12" t="inlineStr">
        <x:is>
          <x:t xml:space="preserve">Front differential fluid (gear oil 75W-85 GL-5)</x:t>
        </x:is>
      </x:c>
      <x:c r="C12" s="13" t="n">
        <x:v>160</x:v>
      </x:c>
      <x:c r="D12" s="12" t="inlineStr">
        <x:is>
          <x:t xml:space="preserve">https://www.monkentoyotamtvernon.com/service-pricing.html
https://www.manhattanbeachtoyota.com/recommended-service-pricing/</x:t>
        </x:is>
      </x:c>
      <x:c r="E12" s="12" t="inlineStr">
        <x:is>
          <x:t xml:space="preserve">Rounded from dealer diff services listed about $160-$162.</x:t>
        </x:is>
      </x:c>
    </x:row>
    <x:row r="13" ht="36" customHeight="1">
      <x:c r="A13" s="12" t="n">
        <x:v>9</x:v>
      </x:c>
      <x:c r="B13" s="12" t="inlineStr">
        <x:is>
          <x:t xml:space="preserve">Spark plugs (Denso FK20HBR8, iridium)</x:t>
        </x:is>
      </x:c>
      <x:c r="C13" s="13" t="n">
        <x:v>500</x:v>
      </x:c>
      <x:c r="D13" s="12" t="inlineStr">
        <x:is>
          <x:t xml:space="preserve">https://www.kbb.com/toyota/tacoma-double-cab/2022/spark-plug-replacement/
https://repairpal.com/estimator/toyota/tacoma/spark-plug-replacement-cost</x:t>
        </x:is>
      </x:c>
      <x:c r="E13" s="12" t="inlineStr">
        <x:is>
          <x:t xml:space="preserve">Tacoma-specific dealer-style estimate; labor varies widely by year/engine.</x:t>
        </x:is>
      </x:c>
    </x:row>
    <x:row r="14" ht="36" customHeight="1">
      <x:c r="A14" s="12" t="n">
        <x:v>10</x:v>
      </x:c>
      <x:c r="B14" s="12" t="inlineStr">
        <x:is>
          <x:t xml:space="preserve">Power steering fluid (Dexron II or III)</x:t>
        </x:is>
      </x:c>
      <x:c r="C14" s="13" t="n">
        <x:v>185</x:v>
      </x:c>
      <x:c r="D14" s="12" t="inlineStr">
        <x:is>
          <x:t xml:space="preserve">https://www.toyotaofirving.com/service-menu-pricing/
https://www.manhattanbeachtoyota.com/recommended-service-pricing/
https://www.toyotaofgreenville.com/service/power-steering-fluid.htm</x:t>
        </x:is>
      </x:c>
      <x:c r="E14" s="12" t="inlineStr">
        <x:is>
          <x:t xml:space="preserve">Rounded from dealer power-steering fluid exchange menus.</x:t>
        </x:is>
      </x:c>
    </x:row>
    <x:row r="15" ht="36" customHeight="1">
      <x:c r="A15" s="12" t="n">
        <x:v>11</x:v>
      </x:c>
      <x:c r="B15" s="12" t="inlineStr">
        <x:is>
          <x:t xml:space="preserve">Engine coolant (Toyota SLLC)</x:t>
        </x:is>
      </x:c>
      <x:c r="C15" s="13" t="n">
        <x:v>195</x:v>
      </x:c>
      <x:c r="D15" s="12" t="inlineStr">
        <x:is>
          <x:t xml:space="preserve">https://www.toyotaofirving.com/service-menu-pricing/
https://www.manhattanbeachtoyota.com/recommended-service-pricing/
https://www.maticktoyota.com/service-menu.html</x:t>
        </x:is>
      </x:c>
      <x:c r="E15" s="12" t="inlineStr">
        <x:is>
          <x:t xml:space="preserve">Rounded from dealer coolant exchange menus.</x:t>
        </x:is>
      </x:c>
    </x:row>
    <x:row r="16" ht="36" customHeight="1">
      <x:c r="A16" s="12" t="n">
        <x:v>12</x:v>
      </x:c>
      <x:c r="B16" s="12" t="inlineStr">
        <x:is>
          <x:t xml:space="preserve">Transmission fluid (Toyota ATF WS / manual-specific)</x:t>
        </x:is>
      </x:c>
      <x:c r="C16" s="13" t="n">
        <x:v>340</x:v>
      </x:c>
      <x:c r="D16" s="12" t="inlineStr">
        <x:is>
          <x:t xml:space="preserve">https://www.toyotaofirving.com/service-menu-pricing/
https://www.manhattanbeachtoyota.com/recommended-service-pricing/
https://www.maticktoyota.com/service-menu.html</x:t>
        </x:is>
      </x:c>
      <x:c r="E16" s="12" t="inlineStr">
        <x:is>
          <x:t xml:space="preserve">Rounded from dealer WS transmission fluid exchange menus.</x:t>
        </x:is>
      </x:c>
    </x:row>
    <x:row r="17" ht="36" customHeight="1">
      <x:c r="A17" s="12" t="n">
        <x:v>13</x:v>
      </x:c>
      <x:c r="B17" s="12" t="inlineStr">
        <x:is>
          <x:t xml:space="preserve">Rear brake shoes</x:t>
        </x:is>
      </x:c>
      <x:c r="C17" s="13" t="n">
        <x:v>360</x:v>
      </x:c>
      <x:c r="D17" s="12" t="inlineStr">
        <x:is>
          <x:t xml:space="preserve">https://repairpal.com/estimator/brake-shoes-replacement-cost
https://repairpal.com/estimator/toyota/pickup/brake-shoes-replacement-cost
Dealer menus were sparse; editable estimate.</x:t>
        </x:is>
      </x:c>
      <x:c r="E17" s="12" t="inlineStr">
        <x:is>
          <x:t xml:space="preserve">Sparse dealer menu data; editable estimate based on published replacement ranges.</x:t>
        </x:is>
      </x:c>
    </x:row>
    <x:row r="18" ht="36" customHeight="1">
      <x:c r="A18" s="12" t="n">
        <x:v>14</x:v>
      </x:c>
      <x:c r="B18" s="12" t="inlineStr">
        <x:is>
          <x:t xml:space="preserve">Front brake pads</x:t>
        </x:is>
      </x:c>
      <x:c r="C18" s="13" t="n">
        <x:v>300</x:v>
      </x:c>
      <x:c r="D18" s="12" t="inlineStr">
        <x:is>
          <x:t xml:space="preserve">https://www.leadcartoyotamankato.com/toyota-brakes-and-service-repair.html
https://www.courtesytoyota.com/toyota-brake-pads.htm
https://www.stonecresttoyota.com/toyota-brake-specials.htm</x:t>
        </x:is>
      </x:c>
      <x:c r="E18" s="12" t="inlineStr">
        <x:is>
          <x:t xml:space="preserve">Rounded from dealer front/rear pad replacement menus and Toyota brake ranges.</x:t>
        </x:is>
      </x:c>
    </x:row>
    <x:row r="19" ht="36" customHeight="1">
      <x:c r="A19" s="12" t="n">
        <x:v>15</x:v>
      </x:c>
      <x:c r="B19" s="12" t="inlineStr">
        <x:is>
          <x:t xml:space="preserve">Serpentine belt</x:t>
        </x:is>
      </x:c>
      <x:c r="C19" s="13" t="n">
        <x:v>150</x:v>
      </x:c>
      <x:c r="D19" s="12" t="inlineStr">
        <x:is>
          <x:t xml:space="preserve">https://repairpal.com/estimator/toyota/tacoma/serpentine-belt-replacement-cost</x:t>
        </x:is>
      </x:c>
      <x:c r="E19" s="12" t="inlineStr">
        <x:is>
          <x:t xml:space="preserve">Rounded Tacoma replacement estimate.</x:t>
        </x:is>
      </x:c>
    </x:row>
    <x:row r="20" ht="36" customHeight="1">
      <x:c r="A20" s="12" t="n">
        <x:v>16</x:v>
      </x:c>
      <x:c r="B20" s="12" t="inlineStr">
        <x:is>
          <x:t xml:space="preserve">Brake fluid</x:t>
        </x:is>
      </x:c>
      <x:c r="C20" s="13" t="n">
        <x:v>185</x:v>
      </x:c>
      <x:c r="D20" s="12" t="inlineStr">
        <x:is>
          <x:t xml:space="preserve">https://www.monkentoyotamtvernon.com/service-pricing.html
https://www.toyotaofirving.com/service-menu-pricing/
https://www.maticktoyota.com/service-menu.html</x:t>
        </x:is>
      </x:c>
      <x:c r="E20" s="12" t="inlineStr">
        <x:is>
          <x:t xml:space="preserve">Rounded from dealer brake-fluid exchange menus.</x:t>
        </x:is>
      </x:c>
    </x:row>
  </x:sheetData>
  <x:mergeCells>
    <x:mergeCell ref="A2:E2"/>
    <x:mergeCell ref="A1:E1"/>
  </x:mergeCells>
  <x:pageMargins left="0.7" right="0.7" top="0.75" bottom="0.75" header="0.3" footer="0.3"/>
  <x:legacyDrawing xmlns:r="http://schemas.openxmlformats.org/officeDocument/2006/relationships" r:id="R84eb869abd6b4e22"/>
</x:worksheet>
</file>